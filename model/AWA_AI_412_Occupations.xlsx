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awaltd-my.sharepoint.com/personal/amawson_advanced-workplace_com/Documents/AWA/Marketing/AI Modelling/"/>
    </mc:Choice>
  </mc:AlternateContent>
  <xr:revisionPtr revIDLastSave="0" documentId="8_{70D67188-27D7-4759-B654-480ED102DBC4}" xr6:coauthVersionLast="47" xr6:coauthVersionMax="47" xr10:uidLastSave="{00000000-0000-0000-0000-000000000000}"/>
  <bookViews>
    <workbookView xWindow="-98" yWindow="-98" windowWidth="24496" windowHeight="15675" tabRatio="500" xr2:uid="{00000000-000D-0000-FFFF-FFFF00000000}"/>
  </bookViews>
  <sheets>
    <sheet name="Validation Sample" sheetId="1" r:id="rId1"/>
    <sheet name="Methodology" sheetId="2" r:id="rId2"/>
    <sheet name="Task Categories" sheetId="3" r:id="rId3"/>
    <sheet name="Role Profiles" sheetId="4" r:id="rId4"/>
    <sheet name="Calculation" sheetId="5" r:id="rId5"/>
    <sheet name="Summary Dashboard" sheetId="6" r:id="rId6"/>
    <sheet name="Sub-Major Group Summary" sheetId="7" r:id="rId7"/>
    <sheet name="Four-Scenario Summary" sheetId="8" r:id="rId8"/>
    <sheet name="May 2026 Frontier" sheetId="9" r:id="rId9"/>
    <sheet name="Capability Multipliers" sheetId="10" r:id="rId10"/>
    <sheet name="Combined Impact" sheetId="11" r:id="rId1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7" l="1"/>
  <c r="D29" i="7"/>
  <c r="C29" i="7"/>
  <c r="I431" i="6"/>
  <c r="H431" i="6"/>
  <c r="G431" i="6"/>
  <c r="J431" i="6" s="1"/>
  <c r="F431" i="6"/>
  <c r="E431" i="6"/>
  <c r="I430" i="6"/>
  <c r="H430" i="6"/>
  <c r="G430" i="6"/>
  <c r="J430" i="6" s="1"/>
  <c r="F430" i="6"/>
  <c r="E430" i="6"/>
  <c r="J429" i="6"/>
  <c r="I429" i="6"/>
  <c r="H429" i="6"/>
  <c r="G429" i="6"/>
  <c r="F429" i="6"/>
  <c r="E429" i="6"/>
  <c r="J428" i="6"/>
  <c r="I428" i="6"/>
  <c r="H428" i="6"/>
  <c r="G428" i="6"/>
  <c r="F428" i="6"/>
  <c r="E428" i="6"/>
  <c r="I427" i="6"/>
  <c r="H427" i="6"/>
  <c r="G427" i="6"/>
  <c r="J427" i="6" s="1"/>
  <c r="F427" i="6"/>
  <c r="E427" i="6"/>
  <c r="I426" i="6"/>
  <c r="H426" i="6"/>
  <c r="G426" i="6"/>
  <c r="J426" i="6" s="1"/>
  <c r="F426" i="6"/>
  <c r="E426" i="6"/>
  <c r="J425" i="6"/>
  <c r="I425" i="6"/>
  <c r="H425" i="6"/>
  <c r="G425" i="6"/>
  <c r="F425" i="6"/>
  <c r="E425" i="6"/>
  <c r="J424" i="6"/>
  <c r="I424" i="6"/>
  <c r="H424" i="6"/>
  <c r="G424" i="6"/>
  <c r="F424" i="6"/>
  <c r="E424" i="6"/>
  <c r="I423" i="6"/>
  <c r="H423" i="6"/>
  <c r="G423" i="6"/>
  <c r="J423" i="6" s="1"/>
  <c r="F423" i="6"/>
  <c r="E423" i="6"/>
  <c r="I422" i="6"/>
  <c r="H422" i="6"/>
  <c r="G422" i="6"/>
  <c r="J422" i="6" s="1"/>
  <c r="F422" i="6"/>
  <c r="E422" i="6"/>
  <c r="J421" i="6"/>
  <c r="I421" i="6"/>
  <c r="H421" i="6"/>
  <c r="G421" i="6"/>
  <c r="F421" i="6"/>
  <c r="E421" i="6"/>
  <c r="J420" i="6"/>
  <c r="I420" i="6"/>
  <c r="H420" i="6"/>
  <c r="G420" i="6"/>
  <c r="F420" i="6"/>
  <c r="E420" i="6"/>
  <c r="I419" i="6"/>
  <c r="H419" i="6"/>
  <c r="G419" i="6"/>
  <c r="J419" i="6" s="1"/>
  <c r="F419" i="6"/>
  <c r="E419" i="6"/>
  <c r="I418" i="6"/>
  <c r="H418" i="6"/>
  <c r="G418" i="6"/>
  <c r="J418" i="6" s="1"/>
  <c r="F418" i="6"/>
  <c r="E418" i="6"/>
  <c r="J417" i="6"/>
  <c r="I417" i="6"/>
  <c r="H417" i="6"/>
  <c r="G417" i="6"/>
  <c r="F417" i="6"/>
  <c r="E417" i="6"/>
  <c r="J416" i="6"/>
  <c r="I416" i="6"/>
  <c r="H416" i="6"/>
  <c r="G416" i="6"/>
  <c r="F416" i="6"/>
  <c r="E416" i="6"/>
  <c r="I415" i="6"/>
  <c r="H415" i="6"/>
  <c r="G415" i="6"/>
  <c r="J415" i="6" s="1"/>
  <c r="F415" i="6"/>
  <c r="E415" i="6"/>
  <c r="I414" i="6"/>
  <c r="H414" i="6"/>
  <c r="G414" i="6"/>
  <c r="J414" i="6" s="1"/>
  <c r="F414" i="6"/>
  <c r="E414" i="6"/>
  <c r="J413" i="6"/>
  <c r="I413" i="6"/>
  <c r="H413" i="6"/>
  <c r="G413" i="6"/>
  <c r="F413" i="6"/>
  <c r="E413" i="6"/>
  <c r="J412" i="6"/>
  <c r="I412" i="6"/>
  <c r="H412" i="6"/>
  <c r="G412" i="6"/>
  <c r="F412" i="6"/>
  <c r="E412" i="6"/>
  <c r="I411" i="6"/>
  <c r="H411" i="6"/>
  <c r="G411" i="6"/>
  <c r="J411" i="6" s="1"/>
  <c r="F411" i="6"/>
  <c r="E411" i="6"/>
  <c r="I410" i="6"/>
  <c r="H410" i="6"/>
  <c r="G410" i="6"/>
  <c r="J410" i="6" s="1"/>
  <c r="F410" i="6"/>
  <c r="E410" i="6"/>
  <c r="J409" i="6"/>
  <c r="I409" i="6"/>
  <c r="H409" i="6"/>
  <c r="G409" i="6"/>
  <c r="F409" i="6"/>
  <c r="E409" i="6"/>
  <c r="J408" i="6"/>
  <c r="I408" i="6"/>
  <c r="H408" i="6"/>
  <c r="G408" i="6"/>
  <c r="F408" i="6"/>
  <c r="E408" i="6"/>
  <c r="I407" i="6"/>
  <c r="H407" i="6"/>
  <c r="G407" i="6"/>
  <c r="J407" i="6" s="1"/>
  <c r="F407" i="6"/>
  <c r="E407" i="6"/>
  <c r="I406" i="6"/>
  <c r="H406" i="6"/>
  <c r="G406" i="6"/>
  <c r="J406" i="6" s="1"/>
  <c r="F406" i="6"/>
  <c r="E406" i="6"/>
  <c r="J405" i="6"/>
  <c r="I405" i="6"/>
  <c r="H405" i="6"/>
  <c r="G405" i="6"/>
  <c r="F405" i="6"/>
  <c r="E405" i="6"/>
  <c r="J404" i="6"/>
  <c r="I404" i="6"/>
  <c r="H404" i="6"/>
  <c r="G404" i="6"/>
  <c r="F404" i="6"/>
  <c r="E404" i="6"/>
  <c r="I403" i="6"/>
  <c r="H403" i="6"/>
  <c r="G403" i="6"/>
  <c r="J403" i="6" s="1"/>
  <c r="F403" i="6"/>
  <c r="E403" i="6"/>
  <c r="I402" i="6"/>
  <c r="H402" i="6"/>
  <c r="G402" i="6"/>
  <c r="J402" i="6" s="1"/>
  <c r="F402" i="6"/>
  <c r="E402" i="6"/>
  <c r="J401" i="6"/>
  <c r="I401" i="6"/>
  <c r="H401" i="6"/>
  <c r="G401" i="6"/>
  <c r="F401" i="6"/>
  <c r="E401" i="6"/>
  <c r="J400" i="6"/>
  <c r="I400" i="6"/>
  <c r="H400" i="6"/>
  <c r="G400" i="6"/>
  <c r="F400" i="6"/>
  <c r="E400" i="6"/>
  <c r="I399" i="6"/>
  <c r="H399" i="6"/>
  <c r="G399" i="6"/>
  <c r="J399" i="6" s="1"/>
  <c r="F399" i="6"/>
  <c r="E399" i="6"/>
  <c r="I398" i="6"/>
  <c r="H398" i="6"/>
  <c r="G398" i="6"/>
  <c r="J398" i="6" s="1"/>
  <c r="F398" i="6"/>
  <c r="E398" i="6"/>
  <c r="J397" i="6"/>
  <c r="I397" i="6"/>
  <c r="H397" i="6"/>
  <c r="G397" i="6"/>
  <c r="F397" i="6"/>
  <c r="E397" i="6"/>
  <c r="J396" i="6"/>
  <c r="I396" i="6"/>
  <c r="H396" i="6"/>
  <c r="G396" i="6"/>
  <c r="F396" i="6"/>
  <c r="E396" i="6"/>
  <c r="I395" i="6"/>
  <c r="H395" i="6"/>
  <c r="G395" i="6"/>
  <c r="J395" i="6" s="1"/>
  <c r="F395" i="6"/>
  <c r="E395" i="6"/>
  <c r="I394" i="6"/>
  <c r="H394" i="6"/>
  <c r="G394" i="6"/>
  <c r="J394" i="6" s="1"/>
  <c r="F394" i="6"/>
  <c r="E394" i="6"/>
  <c r="J393" i="6"/>
  <c r="I393" i="6"/>
  <c r="H393" i="6"/>
  <c r="G393" i="6"/>
  <c r="F393" i="6"/>
  <c r="E393" i="6"/>
  <c r="J392" i="6"/>
  <c r="I392" i="6"/>
  <c r="H392" i="6"/>
  <c r="G392" i="6"/>
  <c r="F392" i="6"/>
  <c r="E392" i="6"/>
  <c r="I391" i="6"/>
  <c r="H391" i="6"/>
  <c r="G391" i="6"/>
  <c r="J391" i="6" s="1"/>
  <c r="F391" i="6"/>
  <c r="E391" i="6"/>
  <c r="I390" i="6"/>
  <c r="H390" i="6"/>
  <c r="G390" i="6"/>
  <c r="J390" i="6" s="1"/>
  <c r="F390" i="6"/>
  <c r="E390" i="6"/>
  <c r="J389" i="6"/>
  <c r="I389" i="6"/>
  <c r="H389" i="6"/>
  <c r="G389" i="6"/>
  <c r="F389" i="6"/>
  <c r="E389" i="6"/>
  <c r="J388" i="6"/>
  <c r="I388" i="6"/>
  <c r="H388" i="6"/>
  <c r="G388" i="6"/>
  <c r="F388" i="6"/>
  <c r="E388" i="6"/>
  <c r="I387" i="6"/>
  <c r="H387" i="6"/>
  <c r="G387" i="6"/>
  <c r="J387" i="6" s="1"/>
  <c r="F387" i="6"/>
  <c r="E387" i="6"/>
  <c r="I386" i="6"/>
  <c r="H386" i="6"/>
  <c r="G386" i="6"/>
  <c r="J386" i="6" s="1"/>
  <c r="F386" i="6"/>
  <c r="E386" i="6"/>
  <c r="J385" i="6"/>
  <c r="I385" i="6"/>
  <c r="H385" i="6"/>
  <c r="G385" i="6"/>
  <c r="F385" i="6"/>
  <c r="E385" i="6"/>
  <c r="J384" i="6"/>
  <c r="I384" i="6"/>
  <c r="H384" i="6"/>
  <c r="G384" i="6"/>
  <c r="F384" i="6"/>
  <c r="E384" i="6"/>
  <c r="I383" i="6"/>
  <c r="H383" i="6"/>
  <c r="G383" i="6"/>
  <c r="J383" i="6" s="1"/>
  <c r="F383" i="6"/>
  <c r="E383" i="6"/>
  <c r="I382" i="6"/>
  <c r="H382" i="6"/>
  <c r="G382" i="6"/>
  <c r="J382" i="6" s="1"/>
  <c r="F382" i="6"/>
  <c r="E382" i="6"/>
  <c r="J381" i="6"/>
  <c r="I381" i="6"/>
  <c r="H381" i="6"/>
  <c r="G381" i="6"/>
  <c r="F381" i="6"/>
  <c r="E381" i="6"/>
  <c r="J380" i="6"/>
  <c r="I380" i="6"/>
  <c r="H380" i="6"/>
  <c r="G380" i="6"/>
  <c r="F380" i="6"/>
  <c r="E380" i="6"/>
  <c r="I379" i="6"/>
  <c r="H379" i="6"/>
  <c r="G379" i="6"/>
  <c r="J379" i="6" s="1"/>
  <c r="F379" i="6"/>
  <c r="E379" i="6"/>
  <c r="I378" i="6"/>
  <c r="H378" i="6"/>
  <c r="G378" i="6"/>
  <c r="J378" i="6" s="1"/>
  <c r="F378" i="6"/>
  <c r="E378" i="6"/>
  <c r="J377" i="6"/>
  <c r="I377" i="6"/>
  <c r="H377" i="6"/>
  <c r="G377" i="6"/>
  <c r="F377" i="6"/>
  <c r="E377" i="6"/>
  <c r="J376" i="6"/>
  <c r="I376" i="6"/>
  <c r="H376" i="6"/>
  <c r="G376" i="6"/>
  <c r="F376" i="6"/>
  <c r="E376" i="6"/>
  <c r="I375" i="6"/>
  <c r="H375" i="6"/>
  <c r="G375" i="6"/>
  <c r="J375" i="6" s="1"/>
  <c r="F375" i="6"/>
  <c r="E375" i="6"/>
  <c r="I374" i="6"/>
  <c r="H374" i="6"/>
  <c r="G374" i="6"/>
  <c r="J374" i="6" s="1"/>
  <c r="F374" i="6"/>
  <c r="E374" i="6"/>
  <c r="J373" i="6"/>
  <c r="I373" i="6"/>
  <c r="H373" i="6"/>
  <c r="G373" i="6"/>
  <c r="F373" i="6"/>
  <c r="E373" i="6"/>
  <c r="J372" i="6"/>
  <c r="I372" i="6"/>
  <c r="H372" i="6"/>
  <c r="G372" i="6"/>
  <c r="F372" i="6"/>
  <c r="E372" i="6"/>
  <c r="I371" i="6"/>
  <c r="H371" i="6"/>
  <c r="G371" i="6"/>
  <c r="J371" i="6" s="1"/>
  <c r="F371" i="6"/>
  <c r="E371" i="6"/>
  <c r="I370" i="6"/>
  <c r="H370" i="6"/>
  <c r="G370" i="6"/>
  <c r="J370" i="6" s="1"/>
  <c r="F370" i="6"/>
  <c r="E370" i="6"/>
  <c r="J369" i="6"/>
  <c r="I369" i="6"/>
  <c r="H369" i="6"/>
  <c r="G369" i="6"/>
  <c r="F369" i="6"/>
  <c r="E369" i="6"/>
  <c r="J368" i="6"/>
  <c r="I368" i="6"/>
  <c r="H368" i="6"/>
  <c r="G368" i="6"/>
  <c r="F368" i="6"/>
  <c r="E368" i="6"/>
  <c r="I367" i="6"/>
  <c r="H367" i="6"/>
  <c r="G367" i="6"/>
  <c r="J367" i="6" s="1"/>
  <c r="F367" i="6"/>
  <c r="E367" i="6"/>
  <c r="I366" i="6"/>
  <c r="H366" i="6"/>
  <c r="G366" i="6"/>
  <c r="J366" i="6" s="1"/>
  <c r="F366" i="6"/>
  <c r="E366" i="6"/>
  <c r="J365" i="6"/>
  <c r="I365" i="6"/>
  <c r="H365" i="6"/>
  <c r="G365" i="6"/>
  <c r="F365" i="6"/>
  <c r="E365" i="6"/>
  <c r="J364" i="6"/>
  <c r="I364" i="6"/>
  <c r="H364" i="6"/>
  <c r="G364" i="6"/>
  <c r="F364" i="6"/>
  <c r="E364" i="6"/>
  <c r="I363" i="6"/>
  <c r="H363" i="6"/>
  <c r="G363" i="6"/>
  <c r="J363" i="6" s="1"/>
  <c r="F363" i="6"/>
  <c r="E363" i="6"/>
  <c r="I362" i="6"/>
  <c r="H362" i="6"/>
  <c r="G362" i="6"/>
  <c r="J362" i="6" s="1"/>
  <c r="F362" i="6"/>
  <c r="E362" i="6"/>
  <c r="J361" i="6"/>
  <c r="I361" i="6"/>
  <c r="H361" i="6"/>
  <c r="G361" i="6"/>
  <c r="F361" i="6"/>
  <c r="E361" i="6"/>
  <c r="J360" i="6"/>
  <c r="I360" i="6"/>
  <c r="H360" i="6"/>
  <c r="G360" i="6"/>
  <c r="F360" i="6"/>
  <c r="E360" i="6"/>
  <c r="I359" i="6"/>
  <c r="H359" i="6"/>
  <c r="G359" i="6"/>
  <c r="J359" i="6" s="1"/>
  <c r="F359" i="6"/>
  <c r="E359" i="6"/>
  <c r="I358" i="6"/>
  <c r="H358" i="6"/>
  <c r="G358" i="6"/>
  <c r="J358" i="6" s="1"/>
  <c r="F358" i="6"/>
  <c r="E358" i="6"/>
  <c r="J357" i="6"/>
  <c r="I357" i="6"/>
  <c r="H357" i="6"/>
  <c r="G357" i="6"/>
  <c r="F357" i="6"/>
  <c r="E357" i="6"/>
  <c r="J356" i="6"/>
  <c r="I356" i="6"/>
  <c r="H356" i="6"/>
  <c r="G356" i="6"/>
  <c r="F356" i="6"/>
  <c r="E356" i="6"/>
  <c r="I355" i="6"/>
  <c r="H355" i="6"/>
  <c r="G355" i="6"/>
  <c r="J355" i="6" s="1"/>
  <c r="F355" i="6"/>
  <c r="E355" i="6"/>
  <c r="I354" i="6"/>
  <c r="H354" i="6"/>
  <c r="G354" i="6"/>
  <c r="J354" i="6" s="1"/>
  <c r="F354" i="6"/>
  <c r="E354" i="6"/>
  <c r="J353" i="6"/>
  <c r="I353" i="6"/>
  <c r="H353" i="6"/>
  <c r="G353" i="6"/>
  <c r="F353" i="6"/>
  <c r="E353" i="6"/>
  <c r="J352" i="6"/>
  <c r="I352" i="6"/>
  <c r="H352" i="6"/>
  <c r="G352" i="6"/>
  <c r="F352" i="6"/>
  <c r="E352" i="6"/>
  <c r="I351" i="6"/>
  <c r="H351" i="6"/>
  <c r="G351" i="6"/>
  <c r="J351" i="6" s="1"/>
  <c r="F351" i="6"/>
  <c r="E351" i="6"/>
  <c r="I350" i="6"/>
  <c r="H350" i="6"/>
  <c r="G350" i="6"/>
  <c r="J350" i="6" s="1"/>
  <c r="F350" i="6"/>
  <c r="E350" i="6"/>
  <c r="J349" i="6"/>
  <c r="I349" i="6"/>
  <c r="H349" i="6"/>
  <c r="G349" i="6"/>
  <c r="F349" i="6"/>
  <c r="E349" i="6"/>
  <c r="J348" i="6"/>
  <c r="I348" i="6"/>
  <c r="H348" i="6"/>
  <c r="G348" i="6"/>
  <c r="F348" i="6"/>
  <c r="E348" i="6"/>
  <c r="I347" i="6"/>
  <c r="H347" i="6"/>
  <c r="G347" i="6"/>
  <c r="J347" i="6" s="1"/>
  <c r="F347" i="6"/>
  <c r="E347" i="6"/>
  <c r="I346" i="6"/>
  <c r="H346" i="6"/>
  <c r="G346" i="6"/>
  <c r="J346" i="6" s="1"/>
  <c r="F346" i="6"/>
  <c r="E346" i="6"/>
  <c r="J345" i="6"/>
  <c r="I345" i="6"/>
  <c r="H345" i="6"/>
  <c r="G345" i="6"/>
  <c r="F345" i="6"/>
  <c r="E345" i="6"/>
  <c r="J344" i="6"/>
  <c r="I344" i="6"/>
  <c r="H344" i="6"/>
  <c r="G344" i="6"/>
  <c r="F344" i="6"/>
  <c r="E344" i="6"/>
  <c r="I343" i="6"/>
  <c r="H343" i="6"/>
  <c r="G343" i="6"/>
  <c r="J343" i="6" s="1"/>
  <c r="F343" i="6"/>
  <c r="E343" i="6"/>
  <c r="I342" i="6"/>
  <c r="H342" i="6"/>
  <c r="G342" i="6"/>
  <c r="J342" i="6" s="1"/>
  <c r="F342" i="6"/>
  <c r="E342" i="6"/>
  <c r="J341" i="6"/>
  <c r="I341" i="6"/>
  <c r="H341" i="6"/>
  <c r="G341" i="6"/>
  <c r="F341" i="6"/>
  <c r="E341" i="6"/>
  <c r="J340" i="6"/>
  <c r="I340" i="6"/>
  <c r="H340" i="6"/>
  <c r="G340" i="6"/>
  <c r="F340" i="6"/>
  <c r="E340" i="6"/>
  <c r="I339" i="6"/>
  <c r="H339" i="6"/>
  <c r="G339" i="6"/>
  <c r="J339" i="6" s="1"/>
  <c r="F339" i="6"/>
  <c r="E339" i="6"/>
  <c r="I338" i="6"/>
  <c r="H338" i="6"/>
  <c r="G338" i="6"/>
  <c r="J338" i="6" s="1"/>
  <c r="F338" i="6"/>
  <c r="E338" i="6"/>
  <c r="J337" i="6"/>
  <c r="I337" i="6"/>
  <c r="H337" i="6"/>
  <c r="G337" i="6"/>
  <c r="F337" i="6"/>
  <c r="E337" i="6"/>
  <c r="J336" i="6"/>
  <c r="I336" i="6"/>
  <c r="H336" i="6"/>
  <c r="G336" i="6"/>
  <c r="F336" i="6"/>
  <c r="E336" i="6"/>
  <c r="I335" i="6"/>
  <c r="H335" i="6"/>
  <c r="G335" i="6"/>
  <c r="J335" i="6" s="1"/>
  <c r="F335" i="6"/>
  <c r="E335" i="6"/>
  <c r="I334" i="6"/>
  <c r="H334" i="6"/>
  <c r="G334" i="6"/>
  <c r="J334" i="6" s="1"/>
  <c r="F334" i="6"/>
  <c r="E334" i="6"/>
  <c r="J333" i="6"/>
  <c r="I333" i="6"/>
  <c r="H333" i="6"/>
  <c r="G333" i="6"/>
  <c r="F333" i="6"/>
  <c r="E333" i="6"/>
  <c r="J332" i="6"/>
  <c r="I332" i="6"/>
  <c r="H332" i="6"/>
  <c r="G332" i="6"/>
  <c r="F332" i="6"/>
  <c r="E332" i="6"/>
  <c r="I331" i="6"/>
  <c r="H331" i="6"/>
  <c r="G331" i="6"/>
  <c r="J331" i="6" s="1"/>
  <c r="F331" i="6"/>
  <c r="E331" i="6"/>
  <c r="I330" i="6"/>
  <c r="H330" i="6"/>
  <c r="G330" i="6"/>
  <c r="J330" i="6" s="1"/>
  <c r="F330" i="6"/>
  <c r="E330" i="6"/>
  <c r="J329" i="6"/>
  <c r="I329" i="6"/>
  <c r="H329" i="6"/>
  <c r="G329" i="6"/>
  <c r="F329" i="6"/>
  <c r="E329" i="6"/>
  <c r="J328" i="6"/>
  <c r="I328" i="6"/>
  <c r="H328" i="6"/>
  <c r="G328" i="6"/>
  <c r="F328" i="6"/>
  <c r="E328" i="6"/>
  <c r="I327" i="6"/>
  <c r="H327" i="6"/>
  <c r="G327" i="6"/>
  <c r="J327" i="6" s="1"/>
  <c r="F327" i="6"/>
  <c r="E327" i="6"/>
  <c r="I326" i="6"/>
  <c r="H326" i="6"/>
  <c r="G326" i="6"/>
  <c r="J326" i="6" s="1"/>
  <c r="F326" i="6"/>
  <c r="E326" i="6"/>
  <c r="J325" i="6"/>
  <c r="I325" i="6"/>
  <c r="H325" i="6"/>
  <c r="G325" i="6"/>
  <c r="F325" i="6"/>
  <c r="E325" i="6"/>
  <c r="J324" i="6"/>
  <c r="I324" i="6"/>
  <c r="H324" i="6"/>
  <c r="G324" i="6"/>
  <c r="F324" i="6"/>
  <c r="E324" i="6"/>
  <c r="I323" i="6"/>
  <c r="H323" i="6"/>
  <c r="G323" i="6"/>
  <c r="J323" i="6" s="1"/>
  <c r="F323" i="6"/>
  <c r="E323" i="6"/>
  <c r="I322" i="6"/>
  <c r="H322" i="6"/>
  <c r="G322" i="6"/>
  <c r="J322" i="6" s="1"/>
  <c r="F322" i="6"/>
  <c r="E322" i="6"/>
  <c r="J321" i="6"/>
  <c r="I321" i="6"/>
  <c r="H321" i="6"/>
  <c r="G321" i="6"/>
  <c r="F321" i="6"/>
  <c r="E321" i="6"/>
  <c r="J320" i="6"/>
  <c r="I320" i="6"/>
  <c r="H320" i="6"/>
  <c r="G320" i="6"/>
  <c r="F320" i="6"/>
  <c r="E320" i="6"/>
  <c r="I319" i="6"/>
  <c r="H319" i="6"/>
  <c r="G319" i="6"/>
  <c r="J319" i="6" s="1"/>
  <c r="F319" i="6"/>
  <c r="E319" i="6"/>
  <c r="I318" i="6"/>
  <c r="H318" i="6"/>
  <c r="G318" i="6"/>
  <c r="J318" i="6" s="1"/>
  <c r="F318" i="6"/>
  <c r="E318" i="6"/>
  <c r="J317" i="6"/>
  <c r="I317" i="6"/>
  <c r="H317" i="6"/>
  <c r="G317" i="6"/>
  <c r="F317" i="6"/>
  <c r="E317" i="6"/>
  <c r="J316" i="6"/>
  <c r="I316" i="6"/>
  <c r="H316" i="6"/>
  <c r="G316" i="6"/>
  <c r="F316" i="6"/>
  <c r="E316" i="6"/>
  <c r="I315" i="6"/>
  <c r="H315" i="6"/>
  <c r="G315" i="6"/>
  <c r="J315" i="6" s="1"/>
  <c r="F315" i="6"/>
  <c r="E315" i="6"/>
  <c r="I314" i="6"/>
  <c r="H314" i="6"/>
  <c r="G314" i="6"/>
  <c r="J314" i="6" s="1"/>
  <c r="F314" i="6"/>
  <c r="E314" i="6"/>
  <c r="J313" i="6"/>
  <c r="I313" i="6"/>
  <c r="H313" i="6"/>
  <c r="G313" i="6"/>
  <c r="F313" i="6"/>
  <c r="E313" i="6"/>
  <c r="J312" i="6"/>
  <c r="I312" i="6"/>
  <c r="H312" i="6"/>
  <c r="G312" i="6"/>
  <c r="F312" i="6"/>
  <c r="E312" i="6"/>
  <c r="I311" i="6"/>
  <c r="H311" i="6"/>
  <c r="G311" i="6"/>
  <c r="J311" i="6" s="1"/>
  <c r="F311" i="6"/>
  <c r="E311" i="6"/>
  <c r="I310" i="6"/>
  <c r="H310" i="6"/>
  <c r="G310" i="6"/>
  <c r="J310" i="6" s="1"/>
  <c r="F310" i="6"/>
  <c r="E310" i="6"/>
  <c r="J309" i="6"/>
  <c r="I309" i="6"/>
  <c r="H309" i="6"/>
  <c r="G309" i="6"/>
  <c r="F309" i="6"/>
  <c r="E309" i="6"/>
  <c r="J308" i="6"/>
  <c r="I308" i="6"/>
  <c r="H308" i="6"/>
  <c r="G308" i="6"/>
  <c r="F308" i="6"/>
  <c r="E308" i="6"/>
  <c r="I307" i="6"/>
  <c r="H307" i="6"/>
  <c r="G307" i="6"/>
  <c r="J307" i="6" s="1"/>
  <c r="F307" i="6"/>
  <c r="E307" i="6"/>
  <c r="I306" i="6"/>
  <c r="H306" i="6"/>
  <c r="G306" i="6"/>
  <c r="J306" i="6" s="1"/>
  <c r="F306" i="6"/>
  <c r="E306" i="6"/>
  <c r="J305" i="6"/>
  <c r="I305" i="6"/>
  <c r="H305" i="6"/>
  <c r="G305" i="6"/>
  <c r="F305" i="6"/>
  <c r="E305" i="6"/>
  <c r="J304" i="6"/>
  <c r="I304" i="6"/>
  <c r="H304" i="6"/>
  <c r="G304" i="6"/>
  <c r="F304" i="6"/>
  <c r="E304" i="6"/>
  <c r="I303" i="6"/>
  <c r="H303" i="6"/>
  <c r="G303" i="6"/>
  <c r="J303" i="6" s="1"/>
  <c r="F303" i="6"/>
  <c r="E303" i="6"/>
  <c r="I302" i="6"/>
  <c r="H302" i="6"/>
  <c r="G302" i="6"/>
  <c r="J302" i="6" s="1"/>
  <c r="F302" i="6"/>
  <c r="E302" i="6"/>
  <c r="J301" i="6"/>
  <c r="I301" i="6"/>
  <c r="H301" i="6"/>
  <c r="G301" i="6"/>
  <c r="F301" i="6"/>
  <c r="E301" i="6"/>
  <c r="J300" i="6"/>
  <c r="I300" i="6"/>
  <c r="H300" i="6"/>
  <c r="G300" i="6"/>
  <c r="F300" i="6"/>
  <c r="E300" i="6"/>
  <c r="I299" i="6"/>
  <c r="H299" i="6"/>
  <c r="G299" i="6"/>
  <c r="J299" i="6" s="1"/>
  <c r="F299" i="6"/>
  <c r="E299" i="6"/>
  <c r="I298" i="6"/>
  <c r="H298" i="6"/>
  <c r="G298" i="6"/>
  <c r="J298" i="6" s="1"/>
  <c r="F298" i="6"/>
  <c r="E298" i="6"/>
  <c r="J297" i="6"/>
  <c r="I297" i="6"/>
  <c r="H297" i="6"/>
  <c r="G297" i="6"/>
  <c r="F297" i="6"/>
  <c r="E297" i="6"/>
  <c r="J296" i="6"/>
  <c r="I296" i="6"/>
  <c r="H296" i="6"/>
  <c r="G296" i="6"/>
  <c r="F296" i="6"/>
  <c r="E296" i="6"/>
  <c r="I295" i="6"/>
  <c r="H295" i="6"/>
  <c r="G295" i="6"/>
  <c r="J295" i="6" s="1"/>
  <c r="F295" i="6"/>
  <c r="E295" i="6"/>
  <c r="I294" i="6"/>
  <c r="H294" i="6"/>
  <c r="G294" i="6"/>
  <c r="J294" i="6" s="1"/>
  <c r="F294" i="6"/>
  <c r="E294" i="6"/>
  <c r="J293" i="6"/>
  <c r="I293" i="6"/>
  <c r="H293" i="6"/>
  <c r="G293" i="6"/>
  <c r="F293" i="6"/>
  <c r="E293" i="6"/>
  <c r="J292" i="6"/>
  <c r="I292" i="6"/>
  <c r="H292" i="6"/>
  <c r="G292" i="6"/>
  <c r="F292" i="6"/>
  <c r="E292" i="6"/>
  <c r="I291" i="6"/>
  <c r="H291" i="6"/>
  <c r="G291" i="6"/>
  <c r="J291" i="6" s="1"/>
  <c r="F291" i="6"/>
  <c r="E291" i="6"/>
  <c r="I290" i="6"/>
  <c r="H290" i="6"/>
  <c r="G290" i="6"/>
  <c r="J290" i="6" s="1"/>
  <c r="F290" i="6"/>
  <c r="E290" i="6"/>
  <c r="J289" i="6"/>
  <c r="I289" i="6"/>
  <c r="H289" i="6"/>
  <c r="G289" i="6"/>
  <c r="F289" i="6"/>
  <c r="E289" i="6"/>
  <c r="J288" i="6"/>
  <c r="I288" i="6"/>
  <c r="H288" i="6"/>
  <c r="G288" i="6"/>
  <c r="F288" i="6"/>
  <c r="E288" i="6"/>
  <c r="I287" i="6"/>
  <c r="H287" i="6"/>
  <c r="G287" i="6"/>
  <c r="J287" i="6" s="1"/>
  <c r="F287" i="6"/>
  <c r="E287" i="6"/>
  <c r="I286" i="6"/>
  <c r="H286" i="6"/>
  <c r="G286" i="6"/>
  <c r="J286" i="6" s="1"/>
  <c r="F286" i="6"/>
  <c r="E286" i="6"/>
  <c r="J285" i="6"/>
  <c r="I285" i="6"/>
  <c r="H285" i="6"/>
  <c r="G285" i="6"/>
  <c r="F285" i="6"/>
  <c r="E285" i="6"/>
  <c r="I284" i="6"/>
  <c r="H284" i="6"/>
  <c r="G284" i="6"/>
  <c r="J284" i="6" s="1"/>
  <c r="F284" i="6"/>
  <c r="E284" i="6"/>
  <c r="I283" i="6"/>
  <c r="H283" i="6"/>
  <c r="G283" i="6"/>
  <c r="J283" i="6" s="1"/>
  <c r="F283" i="6"/>
  <c r="E283" i="6"/>
  <c r="I282" i="6"/>
  <c r="H282" i="6"/>
  <c r="G282" i="6"/>
  <c r="J282" i="6" s="1"/>
  <c r="F282" i="6"/>
  <c r="E282" i="6"/>
  <c r="J281" i="6"/>
  <c r="I281" i="6"/>
  <c r="H281" i="6"/>
  <c r="G281" i="6"/>
  <c r="F281" i="6"/>
  <c r="E281" i="6"/>
  <c r="I280" i="6"/>
  <c r="H280" i="6"/>
  <c r="G280" i="6"/>
  <c r="J280" i="6" s="1"/>
  <c r="F280" i="6"/>
  <c r="E280" i="6"/>
  <c r="I279" i="6"/>
  <c r="H279" i="6"/>
  <c r="G279" i="6"/>
  <c r="J279" i="6" s="1"/>
  <c r="F279" i="6"/>
  <c r="E279" i="6"/>
  <c r="I278" i="6"/>
  <c r="H278" i="6"/>
  <c r="G278" i="6"/>
  <c r="J278" i="6" s="1"/>
  <c r="F278" i="6"/>
  <c r="E278" i="6"/>
  <c r="J277" i="6"/>
  <c r="I277" i="6"/>
  <c r="H277" i="6"/>
  <c r="G277" i="6"/>
  <c r="F277" i="6"/>
  <c r="E277" i="6"/>
  <c r="J276" i="6"/>
  <c r="I276" i="6"/>
  <c r="H276" i="6"/>
  <c r="G276" i="6"/>
  <c r="F276" i="6"/>
  <c r="E276" i="6"/>
  <c r="I275" i="6"/>
  <c r="H275" i="6"/>
  <c r="G275" i="6"/>
  <c r="J275" i="6" s="1"/>
  <c r="F275" i="6"/>
  <c r="E275" i="6"/>
  <c r="I274" i="6"/>
  <c r="H274" i="6"/>
  <c r="G274" i="6"/>
  <c r="J274" i="6" s="1"/>
  <c r="F274" i="6"/>
  <c r="E274" i="6"/>
  <c r="J273" i="6"/>
  <c r="I273" i="6"/>
  <c r="H273" i="6"/>
  <c r="G273" i="6"/>
  <c r="F273" i="6"/>
  <c r="E273" i="6"/>
  <c r="J272" i="6"/>
  <c r="I272" i="6"/>
  <c r="H272" i="6"/>
  <c r="G272" i="6"/>
  <c r="F272" i="6"/>
  <c r="E272" i="6"/>
  <c r="I271" i="6"/>
  <c r="H271" i="6"/>
  <c r="G271" i="6"/>
  <c r="J271" i="6" s="1"/>
  <c r="F271" i="6"/>
  <c r="E271" i="6"/>
  <c r="I270" i="6"/>
  <c r="H270" i="6"/>
  <c r="G270" i="6"/>
  <c r="J270" i="6" s="1"/>
  <c r="F270" i="6"/>
  <c r="E270" i="6"/>
  <c r="J269" i="6"/>
  <c r="I269" i="6"/>
  <c r="H269" i="6"/>
  <c r="G269" i="6"/>
  <c r="F269" i="6"/>
  <c r="E269" i="6"/>
  <c r="I268" i="6"/>
  <c r="H268" i="6"/>
  <c r="G268" i="6"/>
  <c r="J268" i="6" s="1"/>
  <c r="F268" i="6"/>
  <c r="E268" i="6"/>
  <c r="I267" i="6"/>
  <c r="H267" i="6"/>
  <c r="G267" i="6"/>
  <c r="J267" i="6" s="1"/>
  <c r="F267" i="6"/>
  <c r="E267" i="6"/>
  <c r="I266" i="6"/>
  <c r="H266" i="6"/>
  <c r="G266" i="6"/>
  <c r="J266" i="6" s="1"/>
  <c r="F266" i="6"/>
  <c r="E266" i="6"/>
  <c r="J265" i="6"/>
  <c r="I265" i="6"/>
  <c r="H265" i="6"/>
  <c r="G265" i="6"/>
  <c r="F265" i="6"/>
  <c r="E265" i="6"/>
  <c r="I264" i="6"/>
  <c r="H264" i="6"/>
  <c r="G264" i="6"/>
  <c r="J264" i="6" s="1"/>
  <c r="F264" i="6"/>
  <c r="E264" i="6"/>
  <c r="I263" i="6"/>
  <c r="H263" i="6"/>
  <c r="G263" i="6"/>
  <c r="J263" i="6" s="1"/>
  <c r="F263" i="6"/>
  <c r="E263" i="6"/>
  <c r="I262" i="6"/>
  <c r="H262" i="6"/>
  <c r="G262" i="6"/>
  <c r="J262" i="6" s="1"/>
  <c r="F262" i="6"/>
  <c r="E262" i="6"/>
  <c r="J261" i="6"/>
  <c r="I261" i="6"/>
  <c r="H261" i="6"/>
  <c r="G261" i="6"/>
  <c r="F261" i="6"/>
  <c r="E261" i="6"/>
  <c r="J260" i="6"/>
  <c r="I260" i="6"/>
  <c r="H260" i="6"/>
  <c r="G260" i="6"/>
  <c r="F260" i="6"/>
  <c r="E260" i="6"/>
  <c r="I259" i="6"/>
  <c r="H259" i="6"/>
  <c r="G259" i="6"/>
  <c r="J259" i="6" s="1"/>
  <c r="F259" i="6"/>
  <c r="E259" i="6"/>
  <c r="I258" i="6"/>
  <c r="H258" i="6"/>
  <c r="G258" i="6"/>
  <c r="J258" i="6" s="1"/>
  <c r="F258" i="6"/>
  <c r="E258" i="6"/>
  <c r="J257" i="6"/>
  <c r="I257" i="6"/>
  <c r="H257" i="6"/>
  <c r="G257" i="6"/>
  <c r="F257" i="6"/>
  <c r="E257" i="6"/>
  <c r="J256" i="6"/>
  <c r="I256" i="6"/>
  <c r="H256" i="6"/>
  <c r="G256" i="6"/>
  <c r="F256" i="6"/>
  <c r="E256" i="6"/>
  <c r="I255" i="6"/>
  <c r="H255" i="6"/>
  <c r="G255" i="6"/>
  <c r="J255" i="6" s="1"/>
  <c r="F255" i="6"/>
  <c r="E255" i="6"/>
  <c r="I254" i="6"/>
  <c r="H254" i="6"/>
  <c r="G254" i="6"/>
  <c r="J254" i="6" s="1"/>
  <c r="F254" i="6"/>
  <c r="E254" i="6"/>
  <c r="J253" i="6"/>
  <c r="I253" i="6"/>
  <c r="H253" i="6"/>
  <c r="G253" i="6"/>
  <c r="F253" i="6"/>
  <c r="E253" i="6"/>
  <c r="I252" i="6"/>
  <c r="H252" i="6"/>
  <c r="G252" i="6"/>
  <c r="J252" i="6" s="1"/>
  <c r="F252" i="6"/>
  <c r="E252" i="6"/>
  <c r="I251" i="6"/>
  <c r="H251" i="6"/>
  <c r="G251" i="6"/>
  <c r="J251" i="6" s="1"/>
  <c r="F251" i="6"/>
  <c r="E251" i="6"/>
  <c r="I250" i="6"/>
  <c r="H250" i="6"/>
  <c r="G250" i="6"/>
  <c r="J250" i="6" s="1"/>
  <c r="F250" i="6"/>
  <c r="E250" i="6"/>
  <c r="J249" i="6"/>
  <c r="I249" i="6"/>
  <c r="H249" i="6"/>
  <c r="G249" i="6"/>
  <c r="F249" i="6"/>
  <c r="E249" i="6"/>
  <c r="I248" i="6"/>
  <c r="H248" i="6"/>
  <c r="G248" i="6"/>
  <c r="J248" i="6" s="1"/>
  <c r="F248" i="6"/>
  <c r="E248" i="6"/>
  <c r="I247" i="6"/>
  <c r="H247" i="6"/>
  <c r="G247" i="6"/>
  <c r="J247" i="6" s="1"/>
  <c r="F247" i="6"/>
  <c r="E247" i="6"/>
  <c r="I246" i="6"/>
  <c r="H246" i="6"/>
  <c r="G246" i="6"/>
  <c r="J246" i="6" s="1"/>
  <c r="F246" i="6"/>
  <c r="E246" i="6"/>
  <c r="J245" i="6"/>
  <c r="I245" i="6"/>
  <c r="H245" i="6"/>
  <c r="G245" i="6"/>
  <c r="F245" i="6"/>
  <c r="E245" i="6"/>
  <c r="J244" i="6"/>
  <c r="I244" i="6"/>
  <c r="H244" i="6"/>
  <c r="G244" i="6"/>
  <c r="F244" i="6"/>
  <c r="E244" i="6"/>
  <c r="I243" i="6"/>
  <c r="H243" i="6"/>
  <c r="G243" i="6"/>
  <c r="J243" i="6" s="1"/>
  <c r="F243" i="6"/>
  <c r="E243" i="6"/>
  <c r="I242" i="6"/>
  <c r="H242" i="6"/>
  <c r="G242" i="6"/>
  <c r="J242" i="6" s="1"/>
  <c r="F242" i="6"/>
  <c r="E242" i="6"/>
  <c r="J241" i="6"/>
  <c r="I241" i="6"/>
  <c r="H241" i="6"/>
  <c r="G241" i="6"/>
  <c r="F241" i="6"/>
  <c r="E241" i="6"/>
  <c r="J240" i="6"/>
  <c r="I240" i="6"/>
  <c r="H240" i="6"/>
  <c r="G240" i="6"/>
  <c r="F240" i="6"/>
  <c r="E240" i="6"/>
  <c r="I239" i="6"/>
  <c r="H239" i="6"/>
  <c r="G239" i="6"/>
  <c r="J239" i="6" s="1"/>
  <c r="F239" i="6"/>
  <c r="E239" i="6"/>
  <c r="I238" i="6"/>
  <c r="H238" i="6"/>
  <c r="G238" i="6"/>
  <c r="J238" i="6" s="1"/>
  <c r="F238" i="6"/>
  <c r="E238" i="6"/>
  <c r="J237" i="6"/>
  <c r="I237" i="6"/>
  <c r="H237" i="6"/>
  <c r="G237" i="6"/>
  <c r="F237" i="6"/>
  <c r="E237" i="6"/>
  <c r="I236" i="6"/>
  <c r="H236" i="6"/>
  <c r="G236" i="6"/>
  <c r="J236" i="6" s="1"/>
  <c r="F236" i="6"/>
  <c r="E236" i="6"/>
  <c r="I235" i="6"/>
  <c r="H235" i="6"/>
  <c r="G235" i="6"/>
  <c r="J235" i="6" s="1"/>
  <c r="F235" i="6"/>
  <c r="E235" i="6"/>
  <c r="I234" i="6"/>
  <c r="H234" i="6"/>
  <c r="G234" i="6"/>
  <c r="J234" i="6" s="1"/>
  <c r="F234" i="6"/>
  <c r="E234" i="6"/>
  <c r="J233" i="6"/>
  <c r="I233" i="6"/>
  <c r="H233" i="6"/>
  <c r="G233" i="6"/>
  <c r="F233" i="6"/>
  <c r="E233" i="6"/>
  <c r="I232" i="6"/>
  <c r="H232" i="6"/>
  <c r="G232" i="6"/>
  <c r="J232" i="6" s="1"/>
  <c r="F232" i="6"/>
  <c r="E232" i="6"/>
  <c r="I231" i="6"/>
  <c r="H231" i="6"/>
  <c r="G231" i="6"/>
  <c r="J231" i="6" s="1"/>
  <c r="F231" i="6"/>
  <c r="E231" i="6"/>
  <c r="I230" i="6"/>
  <c r="H230" i="6"/>
  <c r="G230" i="6"/>
  <c r="J230" i="6" s="1"/>
  <c r="F230" i="6"/>
  <c r="E230" i="6"/>
  <c r="J229" i="6"/>
  <c r="I229" i="6"/>
  <c r="H229" i="6"/>
  <c r="G229" i="6"/>
  <c r="F229" i="6"/>
  <c r="E229" i="6"/>
  <c r="J228" i="6"/>
  <c r="I228" i="6"/>
  <c r="H228" i="6"/>
  <c r="G228" i="6"/>
  <c r="F228" i="6"/>
  <c r="E228" i="6"/>
  <c r="I227" i="6"/>
  <c r="H227" i="6"/>
  <c r="G227" i="6"/>
  <c r="J227" i="6" s="1"/>
  <c r="F227" i="6"/>
  <c r="E227" i="6"/>
  <c r="I226" i="6"/>
  <c r="H226" i="6"/>
  <c r="G226" i="6"/>
  <c r="J226" i="6" s="1"/>
  <c r="F226" i="6"/>
  <c r="E226" i="6"/>
  <c r="J225" i="6"/>
  <c r="I225" i="6"/>
  <c r="H225" i="6"/>
  <c r="G225" i="6"/>
  <c r="F225" i="6"/>
  <c r="E225" i="6"/>
  <c r="J224" i="6"/>
  <c r="I224" i="6"/>
  <c r="H224" i="6"/>
  <c r="G224" i="6"/>
  <c r="F224" i="6"/>
  <c r="E224" i="6"/>
  <c r="I223" i="6"/>
  <c r="H223" i="6"/>
  <c r="G223" i="6"/>
  <c r="J223" i="6" s="1"/>
  <c r="F223" i="6"/>
  <c r="E223" i="6"/>
  <c r="I222" i="6"/>
  <c r="H222" i="6"/>
  <c r="G222" i="6"/>
  <c r="J222" i="6" s="1"/>
  <c r="F222" i="6"/>
  <c r="E222" i="6"/>
  <c r="J221" i="6"/>
  <c r="I221" i="6"/>
  <c r="H221" i="6"/>
  <c r="G221" i="6"/>
  <c r="F221" i="6"/>
  <c r="E221" i="6"/>
  <c r="I220" i="6"/>
  <c r="H220" i="6"/>
  <c r="G220" i="6"/>
  <c r="J220" i="6" s="1"/>
  <c r="F220" i="6"/>
  <c r="E220" i="6"/>
  <c r="I219" i="6"/>
  <c r="H219" i="6"/>
  <c r="G219" i="6"/>
  <c r="J219" i="6" s="1"/>
  <c r="F219" i="6"/>
  <c r="E219" i="6"/>
  <c r="I218" i="6"/>
  <c r="H218" i="6"/>
  <c r="G218" i="6"/>
  <c r="J218" i="6" s="1"/>
  <c r="F218" i="6"/>
  <c r="E218" i="6"/>
  <c r="J217" i="6"/>
  <c r="I217" i="6"/>
  <c r="H217" i="6"/>
  <c r="G217" i="6"/>
  <c r="F217" i="6"/>
  <c r="E217" i="6"/>
  <c r="I216" i="6"/>
  <c r="H216" i="6"/>
  <c r="G216" i="6"/>
  <c r="J216" i="6" s="1"/>
  <c r="F216" i="6"/>
  <c r="E216" i="6"/>
  <c r="I215" i="6"/>
  <c r="H215" i="6"/>
  <c r="G215" i="6"/>
  <c r="J215" i="6" s="1"/>
  <c r="F215" i="6"/>
  <c r="E215" i="6"/>
  <c r="I214" i="6"/>
  <c r="H214" i="6"/>
  <c r="G214" i="6"/>
  <c r="J214" i="6" s="1"/>
  <c r="F214" i="6"/>
  <c r="E214" i="6"/>
  <c r="J213" i="6"/>
  <c r="I213" i="6"/>
  <c r="H213" i="6"/>
  <c r="G213" i="6"/>
  <c r="F213" i="6"/>
  <c r="E213" i="6"/>
  <c r="I212" i="6"/>
  <c r="H212" i="6"/>
  <c r="G212" i="6"/>
  <c r="J212" i="6" s="1"/>
  <c r="F212" i="6"/>
  <c r="E212" i="6"/>
  <c r="I211" i="6"/>
  <c r="H211" i="6"/>
  <c r="G211" i="6"/>
  <c r="J211" i="6" s="1"/>
  <c r="F211" i="6"/>
  <c r="E211" i="6"/>
  <c r="I210" i="6"/>
  <c r="H210" i="6"/>
  <c r="G210" i="6"/>
  <c r="J210" i="6" s="1"/>
  <c r="F210" i="6"/>
  <c r="E210" i="6"/>
  <c r="J209" i="6"/>
  <c r="I209" i="6"/>
  <c r="H209" i="6"/>
  <c r="G209" i="6"/>
  <c r="F209" i="6"/>
  <c r="E209" i="6"/>
  <c r="I208" i="6"/>
  <c r="H208" i="6"/>
  <c r="G208" i="6"/>
  <c r="J208" i="6" s="1"/>
  <c r="F208" i="6"/>
  <c r="E208" i="6"/>
  <c r="J207" i="6"/>
  <c r="I207" i="6"/>
  <c r="H207" i="6"/>
  <c r="G207" i="6"/>
  <c r="F207" i="6"/>
  <c r="E207" i="6"/>
  <c r="I206" i="6"/>
  <c r="H206" i="6"/>
  <c r="G206" i="6"/>
  <c r="J206" i="6" s="1"/>
  <c r="F206" i="6"/>
  <c r="E206" i="6"/>
  <c r="J205" i="6"/>
  <c r="I205" i="6"/>
  <c r="H205" i="6"/>
  <c r="G205" i="6"/>
  <c r="F205" i="6"/>
  <c r="E205" i="6"/>
  <c r="I204" i="6"/>
  <c r="H204" i="6"/>
  <c r="G204" i="6"/>
  <c r="J204" i="6" s="1"/>
  <c r="F204" i="6"/>
  <c r="E204" i="6"/>
  <c r="J203" i="6"/>
  <c r="I203" i="6"/>
  <c r="H203" i="6"/>
  <c r="G203" i="6"/>
  <c r="F203" i="6"/>
  <c r="E203" i="6"/>
  <c r="I202" i="6"/>
  <c r="H202" i="6"/>
  <c r="G202" i="6"/>
  <c r="J202" i="6" s="1"/>
  <c r="F202" i="6"/>
  <c r="E202" i="6"/>
  <c r="J201" i="6"/>
  <c r="I201" i="6"/>
  <c r="H201" i="6"/>
  <c r="G201" i="6"/>
  <c r="F201" i="6"/>
  <c r="E201" i="6"/>
  <c r="J200" i="6"/>
  <c r="I200" i="6"/>
  <c r="H200" i="6"/>
  <c r="G200" i="6"/>
  <c r="F200" i="6"/>
  <c r="E200" i="6"/>
  <c r="J199" i="6"/>
  <c r="I199" i="6"/>
  <c r="H199" i="6"/>
  <c r="G199" i="6"/>
  <c r="F199" i="6"/>
  <c r="E199" i="6"/>
  <c r="I198" i="6"/>
  <c r="H198" i="6"/>
  <c r="G198" i="6"/>
  <c r="J198" i="6" s="1"/>
  <c r="F198" i="6"/>
  <c r="E198" i="6"/>
  <c r="J197" i="6"/>
  <c r="I197" i="6"/>
  <c r="H197" i="6"/>
  <c r="G197" i="6"/>
  <c r="F197" i="6"/>
  <c r="E197" i="6"/>
  <c r="J196" i="6"/>
  <c r="I196" i="6"/>
  <c r="H196" i="6"/>
  <c r="G196" i="6"/>
  <c r="F196" i="6"/>
  <c r="E196" i="6"/>
  <c r="I195" i="6"/>
  <c r="H195" i="6"/>
  <c r="G195" i="6"/>
  <c r="J195" i="6" s="1"/>
  <c r="F195" i="6"/>
  <c r="E195" i="6"/>
  <c r="I194" i="6"/>
  <c r="H194" i="6"/>
  <c r="G194" i="6"/>
  <c r="J194" i="6" s="1"/>
  <c r="F194" i="6"/>
  <c r="E194" i="6"/>
  <c r="J193" i="6"/>
  <c r="I193" i="6"/>
  <c r="H193" i="6"/>
  <c r="G193" i="6"/>
  <c r="F193" i="6"/>
  <c r="E193" i="6"/>
  <c r="J192" i="6"/>
  <c r="I192" i="6"/>
  <c r="H192" i="6"/>
  <c r="G192" i="6"/>
  <c r="F192" i="6"/>
  <c r="E192" i="6"/>
  <c r="I191" i="6"/>
  <c r="H191" i="6"/>
  <c r="G191" i="6"/>
  <c r="J191" i="6" s="1"/>
  <c r="F191" i="6"/>
  <c r="E191" i="6"/>
  <c r="I190" i="6"/>
  <c r="H190" i="6"/>
  <c r="G190" i="6"/>
  <c r="J190" i="6" s="1"/>
  <c r="F190" i="6"/>
  <c r="E190" i="6"/>
  <c r="J189" i="6"/>
  <c r="I189" i="6"/>
  <c r="H189" i="6"/>
  <c r="G189" i="6"/>
  <c r="F189" i="6"/>
  <c r="E189" i="6"/>
  <c r="I188" i="6"/>
  <c r="H188" i="6"/>
  <c r="G188" i="6"/>
  <c r="J188" i="6" s="1"/>
  <c r="F188" i="6"/>
  <c r="E188" i="6"/>
  <c r="I187" i="6"/>
  <c r="H187" i="6"/>
  <c r="G187" i="6"/>
  <c r="J187" i="6" s="1"/>
  <c r="F187" i="6"/>
  <c r="E187" i="6"/>
  <c r="I186" i="6"/>
  <c r="H186" i="6"/>
  <c r="G186" i="6"/>
  <c r="J186" i="6" s="1"/>
  <c r="F186" i="6"/>
  <c r="E186" i="6"/>
  <c r="J185" i="6"/>
  <c r="I185" i="6"/>
  <c r="H185" i="6"/>
  <c r="G185" i="6"/>
  <c r="F185" i="6"/>
  <c r="E185" i="6"/>
  <c r="I184" i="6"/>
  <c r="H184" i="6"/>
  <c r="G184" i="6"/>
  <c r="J184" i="6" s="1"/>
  <c r="F184" i="6"/>
  <c r="E184" i="6"/>
  <c r="I183" i="6"/>
  <c r="H183" i="6"/>
  <c r="G183" i="6"/>
  <c r="J183" i="6" s="1"/>
  <c r="F183" i="6"/>
  <c r="E183" i="6"/>
  <c r="I182" i="6"/>
  <c r="H182" i="6"/>
  <c r="G182" i="6"/>
  <c r="J182" i="6" s="1"/>
  <c r="F182" i="6"/>
  <c r="E182" i="6"/>
  <c r="J181" i="6"/>
  <c r="I181" i="6"/>
  <c r="H181" i="6"/>
  <c r="G181" i="6"/>
  <c r="F181" i="6"/>
  <c r="E181" i="6"/>
  <c r="I180" i="6"/>
  <c r="H180" i="6"/>
  <c r="G180" i="6"/>
  <c r="J180" i="6" s="1"/>
  <c r="F180" i="6"/>
  <c r="E180" i="6"/>
  <c r="J179" i="6"/>
  <c r="I179" i="6"/>
  <c r="H179" i="6"/>
  <c r="G179" i="6"/>
  <c r="F179" i="6"/>
  <c r="E179" i="6"/>
  <c r="I178" i="6"/>
  <c r="H178" i="6"/>
  <c r="G178" i="6"/>
  <c r="J178" i="6" s="1"/>
  <c r="F178" i="6"/>
  <c r="E178" i="6"/>
  <c r="J177" i="6"/>
  <c r="I177" i="6"/>
  <c r="H177" i="6"/>
  <c r="G177" i="6"/>
  <c r="F177" i="6"/>
  <c r="E177" i="6"/>
  <c r="I176" i="6"/>
  <c r="H176" i="6"/>
  <c r="G176" i="6"/>
  <c r="J176" i="6" s="1"/>
  <c r="F176" i="6"/>
  <c r="E176" i="6"/>
  <c r="J175" i="6"/>
  <c r="I175" i="6"/>
  <c r="H175" i="6"/>
  <c r="G175" i="6"/>
  <c r="F175" i="6"/>
  <c r="E175" i="6"/>
  <c r="I174" i="6"/>
  <c r="H174" i="6"/>
  <c r="G174" i="6"/>
  <c r="J174" i="6" s="1"/>
  <c r="F174" i="6"/>
  <c r="E174" i="6"/>
  <c r="J173" i="6"/>
  <c r="I173" i="6"/>
  <c r="H173" i="6"/>
  <c r="G173" i="6"/>
  <c r="F173" i="6"/>
  <c r="E173" i="6"/>
  <c r="J172" i="6"/>
  <c r="I172" i="6"/>
  <c r="H172" i="6"/>
  <c r="G172" i="6"/>
  <c r="F172" i="6"/>
  <c r="E172" i="6"/>
  <c r="J171" i="6"/>
  <c r="I171" i="6"/>
  <c r="H171" i="6"/>
  <c r="G171" i="6"/>
  <c r="F171" i="6"/>
  <c r="E171" i="6"/>
  <c r="I170" i="6"/>
  <c r="H170" i="6"/>
  <c r="G170" i="6"/>
  <c r="J170" i="6" s="1"/>
  <c r="F170" i="6"/>
  <c r="E170" i="6"/>
  <c r="J169" i="6"/>
  <c r="I169" i="6"/>
  <c r="H169" i="6"/>
  <c r="G169" i="6"/>
  <c r="F169" i="6"/>
  <c r="E169" i="6"/>
  <c r="J168" i="6"/>
  <c r="I168" i="6"/>
  <c r="H168" i="6"/>
  <c r="G168" i="6"/>
  <c r="F168" i="6"/>
  <c r="E168" i="6"/>
  <c r="J167" i="6"/>
  <c r="I167" i="6"/>
  <c r="H167" i="6"/>
  <c r="G167" i="6"/>
  <c r="F167" i="6"/>
  <c r="E167" i="6"/>
  <c r="I166" i="6"/>
  <c r="H166" i="6"/>
  <c r="G166" i="6"/>
  <c r="J166" i="6" s="1"/>
  <c r="F166" i="6"/>
  <c r="E166" i="6"/>
  <c r="J165" i="6"/>
  <c r="I165" i="6"/>
  <c r="H165" i="6"/>
  <c r="G165" i="6"/>
  <c r="F165" i="6"/>
  <c r="E165" i="6"/>
  <c r="J164" i="6"/>
  <c r="I164" i="6"/>
  <c r="H164" i="6"/>
  <c r="G164" i="6"/>
  <c r="F164" i="6"/>
  <c r="E164" i="6"/>
  <c r="I163" i="6"/>
  <c r="H163" i="6"/>
  <c r="G163" i="6"/>
  <c r="J163" i="6" s="1"/>
  <c r="F163" i="6"/>
  <c r="E163" i="6"/>
  <c r="I162" i="6"/>
  <c r="H162" i="6"/>
  <c r="G162" i="6"/>
  <c r="J162" i="6" s="1"/>
  <c r="F162" i="6"/>
  <c r="E162" i="6"/>
  <c r="J161" i="6"/>
  <c r="I161" i="6"/>
  <c r="H161" i="6"/>
  <c r="G161" i="6"/>
  <c r="F161" i="6"/>
  <c r="E161" i="6"/>
  <c r="J160" i="6"/>
  <c r="I160" i="6"/>
  <c r="H160" i="6"/>
  <c r="G160" i="6"/>
  <c r="F160" i="6"/>
  <c r="E160" i="6"/>
  <c r="I159" i="6"/>
  <c r="H159" i="6"/>
  <c r="G159" i="6"/>
  <c r="J159" i="6" s="1"/>
  <c r="F159" i="6"/>
  <c r="E159" i="6"/>
  <c r="I158" i="6"/>
  <c r="H158" i="6"/>
  <c r="G158" i="6"/>
  <c r="J158" i="6" s="1"/>
  <c r="F158" i="6"/>
  <c r="E158" i="6"/>
  <c r="J157" i="6"/>
  <c r="I157" i="6"/>
  <c r="H157" i="6"/>
  <c r="G157" i="6"/>
  <c r="F157" i="6"/>
  <c r="E157" i="6"/>
  <c r="I156" i="6"/>
  <c r="H156" i="6"/>
  <c r="G156" i="6"/>
  <c r="J156" i="6" s="1"/>
  <c r="F156" i="6"/>
  <c r="E156" i="6"/>
  <c r="I155" i="6"/>
  <c r="H155" i="6"/>
  <c r="G155" i="6"/>
  <c r="J155" i="6" s="1"/>
  <c r="F155" i="6"/>
  <c r="E155" i="6"/>
  <c r="I154" i="6"/>
  <c r="H154" i="6"/>
  <c r="G154" i="6"/>
  <c r="J154" i="6" s="1"/>
  <c r="F154" i="6"/>
  <c r="E154" i="6"/>
  <c r="J153" i="6"/>
  <c r="I153" i="6"/>
  <c r="H153" i="6"/>
  <c r="G153" i="6"/>
  <c r="F153" i="6"/>
  <c r="E153" i="6"/>
  <c r="I152" i="6"/>
  <c r="H152" i="6"/>
  <c r="G152" i="6"/>
  <c r="J152" i="6" s="1"/>
  <c r="F152" i="6"/>
  <c r="E152" i="6"/>
  <c r="I151" i="6"/>
  <c r="H151" i="6"/>
  <c r="G151" i="6"/>
  <c r="J151" i="6" s="1"/>
  <c r="F151" i="6"/>
  <c r="E151" i="6"/>
  <c r="I150" i="6"/>
  <c r="H150" i="6"/>
  <c r="G150" i="6"/>
  <c r="J150" i="6" s="1"/>
  <c r="F150" i="6"/>
  <c r="E150" i="6"/>
  <c r="J149" i="6"/>
  <c r="I149" i="6"/>
  <c r="H149" i="6"/>
  <c r="G149" i="6"/>
  <c r="F149" i="6"/>
  <c r="E149" i="6"/>
  <c r="I148" i="6"/>
  <c r="H148" i="6"/>
  <c r="G148" i="6"/>
  <c r="J148" i="6" s="1"/>
  <c r="F148" i="6"/>
  <c r="E148" i="6"/>
  <c r="J147" i="6"/>
  <c r="I147" i="6"/>
  <c r="H147" i="6"/>
  <c r="G147" i="6"/>
  <c r="F147" i="6"/>
  <c r="E147" i="6"/>
  <c r="I146" i="6"/>
  <c r="H146" i="6"/>
  <c r="G146" i="6"/>
  <c r="J146" i="6" s="1"/>
  <c r="F146" i="6"/>
  <c r="E146" i="6"/>
  <c r="J145" i="6"/>
  <c r="I145" i="6"/>
  <c r="H145" i="6"/>
  <c r="G145" i="6"/>
  <c r="F145" i="6"/>
  <c r="E145" i="6"/>
  <c r="I144" i="6"/>
  <c r="H144" i="6"/>
  <c r="G144" i="6"/>
  <c r="J144" i="6" s="1"/>
  <c r="F144" i="6"/>
  <c r="E144" i="6"/>
  <c r="J143" i="6"/>
  <c r="I143" i="6"/>
  <c r="H143" i="6"/>
  <c r="G143" i="6"/>
  <c r="F143" i="6"/>
  <c r="E143" i="6"/>
  <c r="I142" i="6"/>
  <c r="H142" i="6"/>
  <c r="G142" i="6"/>
  <c r="J142" i="6" s="1"/>
  <c r="F142" i="6"/>
  <c r="E142" i="6"/>
  <c r="J141" i="6"/>
  <c r="I141" i="6"/>
  <c r="H141" i="6"/>
  <c r="G141" i="6"/>
  <c r="F141" i="6"/>
  <c r="E141" i="6"/>
  <c r="J140" i="6"/>
  <c r="I140" i="6"/>
  <c r="H140" i="6"/>
  <c r="G140" i="6"/>
  <c r="F140" i="6"/>
  <c r="E140" i="6"/>
  <c r="J139" i="6"/>
  <c r="I139" i="6"/>
  <c r="H139" i="6"/>
  <c r="G139" i="6"/>
  <c r="F139" i="6"/>
  <c r="E139" i="6"/>
  <c r="I138" i="6"/>
  <c r="H138" i="6"/>
  <c r="G138" i="6"/>
  <c r="J138" i="6" s="1"/>
  <c r="F138" i="6"/>
  <c r="E138" i="6"/>
  <c r="J137" i="6"/>
  <c r="I137" i="6"/>
  <c r="H137" i="6"/>
  <c r="G137" i="6"/>
  <c r="F137" i="6"/>
  <c r="E137" i="6"/>
  <c r="J136" i="6"/>
  <c r="I136" i="6"/>
  <c r="H136" i="6"/>
  <c r="G136" i="6"/>
  <c r="F136" i="6"/>
  <c r="E136" i="6"/>
  <c r="J135" i="6"/>
  <c r="I135" i="6"/>
  <c r="H135" i="6"/>
  <c r="G135" i="6"/>
  <c r="F135" i="6"/>
  <c r="E135" i="6"/>
  <c r="I134" i="6"/>
  <c r="H134" i="6"/>
  <c r="G134" i="6"/>
  <c r="J134" i="6" s="1"/>
  <c r="F134" i="6"/>
  <c r="E134" i="6"/>
  <c r="J133" i="6"/>
  <c r="I133" i="6"/>
  <c r="H133" i="6"/>
  <c r="G133" i="6"/>
  <c r="F133" i="6"/>
  <c r="E133" i="6"/>
  <c r="J132" i="6"/>
  <c r="I132" i="6"/>
  <c r="H132" i="6"/>
  <c r="G132" i="6"/>
  <c r="F132" i="6"/>
  <c r="E132" i="6"/>
  <c r="I131" i="6"/>
  <c r="H131" i="6"/>
  <c r="G131" i="6"/>
  <c r="J131" i="6" s="1"/>
  <c r="F131" i="6"/>
  <c r="E131" i="6"/>
  <c r="I130" i="6"/>
  <c r="H130" i="6"/>
  <c r="G130" i="6"/>
  <c r="J130" i="6" s="1"/>
  <c r="F130" i="6"/>
  <c r="E130" i="6"/>
  <c r="J129" i="6"/>
  <c r="I129" i="6"/>
  <c r="H129" i="6"/>
  <c r="G129" i="6"/>
  <c r="F129" i="6"/>
  <c r="E129" i="6"/>
  <c r="J128" i="6"/>
  <c r="I128" i="6"/>
  <c r="H128" i="6"/>
  <c r="G128" i="6"/>
  <c r="F128" i="6"/>
  <c r="E128" i="6"/>
  <c r="I127" i="6"/>
  <c r="H127" i="6"/>
  <c r="G127" i="6"/>
  <c r="J127" i="6" s="1"/>
  <c r="F127" i="6"/>
  <c r="E127" i="6"/>
  <c r="I126" i="6"/>
  <c r="H126" i="6"/>
  <c r="G126" i="6"/>
  <c r="J126" i="6" s="1"/>
  <c r="F126" i="6"/>
  <c r="E126" i="6"/>
  <c r="J125" i="6"/>
  <c r="I125" i="6"/>
  <c r="H125" i="6"/>
  <c r="G125" i="6"/>
  <c r="F125" i="6"/>
  <c r="E125" i="6"/>
  <c r="I124" i="6"/>
  <c r="H124" i="6"/>
  <c r="G124" i="6"/>
  <c r="J124" i="6" s="1"/>
  <c r="F124" i="6"/>
  <c r="E124" i="6"/>
  <c r="I123" i="6"/>
  <c r="H123" i="6"/>
  <c r="G123" i="6"/>
  <c r="J123" i="6" s="1"/>
  <c r="F123" i="6"/>
  <c r="E123" i="6"/>
  <c r="I122" i="6"/>
  <c r="H122" i="6"/>
  <c r="G122" i="6"/>
  <c r="J122" i="6" s="1"/>
  <c r="F122" i="6"/>
  <c r="E122" i="6"/>
  <c r="J121" i="6"/>
  <c r="I121" i="6"/>
  <c r="H121" i="6"/>
  <c r="G121" i="6"/>
  <c r="F121" i="6"/>
  <c r="E121" i="6"/>
  <c r="I120" i="6"/>
  <c r="H120" i="6"/>
  <c r="G120" i="6"/>
  <c r="J120" i="6" s="1"/>
  <c r="F120" i="6"/>
  <c r="E120" i="6"/>
  <c r="I119" i="6"/>
  <c r="H119" i="6"/>
  <c r="G119" i="6"/>
  <c r="J119" i="6" s="1"/>
  <c r="F119" i="6"/>
  <c r="E119" i="6"/>
  <c r="I118" i="6"/>
  <c r="H118" i="6"/>
  <c r="G118" i="6"/>
  <c r="J118" i="6" s="1"/>
  <c r="F118" i="6"/>
  <c r="E118" i="6"/>
  <c r="J117" i="6"/>
  <c r="I117" i="6"/>
  <c r="H117" i="6"/>
  <c r="G117" i="6"/>
  <c r="F117" i="6"/>
  <c r="E117" i="6"/>
  <c r="I116" i="6"/>
  <c r="H116" i="6"/>
  <c r="G116" i="6"/>
  <c r="J116" i="6" s="1"/>
  <c r="F116" i="6"/>
  <c r="E116" i="6"/>
  <c r="J115" i="6"/>
  <c r="I115" i="6"/>
  <c r="H115" i="6"/>
  <c r="G115" i="6"/>
  <c r="F115" i="6"/>
  <c r="E115" i="6"/>
  <c r="I114" i="6"/>
  <c r="H114" i="6"/>
  <c r="G114" i="6"/>
  <c r="J114" i="6" s="1"/>
  <c r="F114" i="6"/>
  <c r="E114" i="6"/>
  <c r="J113" i="6"/>
  <c r="I113" i="6"/>
  <c r="H113" i="6"/>
  <c r="G113" i="6"/>
  <c r="F113" i="6"/>
  <c r="E113" i="6"/>
  <c r="I112" i="6"/>
  <c r="H112" i="6"/>
  <c r="G112" i="6"/>
  <c r="J112" i="6" s="1"/>
  <c r="F112" i="6"/>
  <c r="E112" i="6"/>
  <c r="J111" i="6"/>
  <c r="I111" i="6"/>
  <c r="H111" i="6"/>
  <c r="G111" i="6"/>
  <c r="F111" i="6"/>
  <c r="E111" i="6"/>
  <c r="I110" i="6"/>
  <c r="H110" i="6"/>
  <c r="G110" i="6"/>
  <c r="J110" i="6" s="1"/>
  <c r="F110" i="6"/>
  <c r="E110" i="6"/>
  <c r="J109" i="6"/>
  <c r="I109" i="6"/>
  <c r="H109" i="6"/>
  <c r="G109" i="6"/>
  <c r="F109" i="6"/>
  <c r="E109" i="6"/>
  <c r="J108" i="6"/>
  <c r="I108" i="6"/>
  <c r="H108" i="6"/>
  <c r="G108" i="6"/>
  <c r="F108" i="6"/>
  <c r="E108" i="6"/>
  <c r="J107" i="6"/>
  <c r="I107" i="6"/>
  <c r="H107" i="6"/>
  <c r="G107" i="6"/>
  <c r="F107" i="6"/>
  <c r="E107" i="6"/>
  <c r="I106" i="6"/>
  <c r="H106" i="6"/>
  <c r="G106" i="6"/>
  <c r="J106" i="6" s="1"/>
  <c r="F106" i="6"/>
  <c r="E106" i="6"/>
  <c r="J105" i="6"/>
  <c r="I105" i="6"/>
  <c r="H105" i="6"/>
  <c r="G105" i="6"/>
  <c r="F105" i="6"/>
  <c r="E105" i="6"/>
  <c r="J104" i="6"/>
  <c r="I104" i="6"/>
  <c r="H104" i="6"/>
  <c r="G104" i="6"/>
  <c r="F104" i="6"/>
  <c r="E104" i="6"/>
  <c r="J103" i="6"/>
  <c r="I103" i="6"/>
  <c r="H103" i="6"/>
  <c r="G103" i="6"/>
  <c r="F103" i="6"/>
  <c r="E103" i="6"/>
  <c r="I102" i="6"/>
  <c r="H102" i="6"/>
  <c r="G102" i="6"/>
  <c r="J102" i="6" s="1"/>
  <c r="F102" i="6"/>
  <c r="E102" i="6"/>
  <c r="J101" i="6"/>
  <c r="I101" i="6"/>
  <c r="H101" i="6"/>
  <c r="G101" i="6"/>
  <c r="F101" i="6"/>
  <c r="E101" i="6"/>
  <c r="J100" i="6"/>
  <c r="I100" i="6"/>
  <c r="H100" i="6"/>
  <c r="G100" i="6"/>
  <c r="F100" i="6"/>
  <c r="E100" i="6"/>
  <c r="I99" i="6"/>
  <c r="H99" i="6"/>
  <c r="G99" i="6"/>
  <c r="J99" i="6" s="1"/>
  <c r="F99" i="6"/>
  <c r="E99" i="6"/>
  <c r="I98" i="6"/>
  <c r="H98" i="6"/>
  <c r="G98" i="6"/>
  <c r="J98" i="6" s="1"/>
  <c r="F98" i="6"/>
  <c r="E98" i="6"/>
  <c r="J97" i="6"/>
  <c r="I97" i="6"/>
  <c r="H97" i="6"/>
  <c r="G97" i="6"/>
  <c r="F97" i="6"/>
  <c r="E97" i="6"/>
  <c r="J96" i="6"/>
  <c r="I96" i="6"/>
  <c r="H96" i="6"/>
  <c r="G96" i="6"/>
  <c r="F96" i="6"/>
  <c r="E96" i="6"/>
  <c r="I95" i="6"/>
  <c r="H95" i="6"/>
  <c r="G95" i="6"/>
  <c r="J95" i="6" s="1"/>
  <c r="F95" i="6"/>
  <c r="E95" i="6"/>
  <c r="I94" i="6"/>
  <c r="H94" i="6"/>
  <c r="G94" i="6"/>
  <c r="J94" i="6" s="1"/>
  <c r="F94" i="6"/>
  <c r="E94" i="6"/>
  <c r="J93" i="6"/>
  <c r="I93" i="6"/>
  <c r="H93" i="6"/>
  <c r="G93" i="6"/>
  <c r="F93" i="6"/>
  <c r="E93" i="6"/>
  <c r="I92" i="6"/>
  <c r="H92" i="6"/>
  <c r="G92" i="6"/>
  <c r="J92" i="6" s="1"/>
  <c r="F92" i="6"/>
  <c r="E92" i="6"/>
  <c r="I91" i="6"/>
  <c r="H91" i="6"/>
  <c r="G91" i="6"/>
  <c r="J91" i="6" s="1"/>
  <c r="F91" i="6"/>
  <c r="E91" i="6"/>
  <c r="J90" i="6"/>
  <c r="I90" i="6"/>
  <c r="H90" i="6"/>
  <c r="G90" i="6"/>
  <c r="F90" i="6"/>
  <c r="E90" i="6"/>
  <c r="J89" i="6"/>
  <c r="I89" i="6"/>
  <c r="H89" i="6"/>
  <c r="G89" i="6"/>
  <c r="F89" i="6"/>
  <c r="E89" i="6"/>
  <c r="I88" i="6"/>
  <c r="H88" i="6"/>
  <c r="G88" i="6"/>
  <c r="J88" i="6" s="1"/>
  <c r="F88" i="6"/>
  <c r="E88" i="6"/>
  <c r="I87" i="6"/>
  <c r="H87" i="6"/>
  <c r="G87" i="6"/>
  <c r="J87" i="6" s="1"/>
  <c r="F87" i="6"/>
  <c r="E87" i="6"/>
  <c r="J86" i="6"/>
  <c r="I86" i="6"/>
  <c r="H86" i="6"/>
  <c r="G86" i="6"/>
  <c r="F86" i="6"/>
  <c r="E86" i="6"/>
  <c r="J85" i="6"/>
  <c r="I85" i="6"/>
  <c r="H85" i="6"/>
  <c r="G85" i="6"/>
  <c r="F85" i="6"/>
  <c r="E85" i="6"/>
  <c r="I84" i="6"/>
  <c r="H84" i="6"/>
  <c r="G84" i="6"/>
  <c r="J84" i="6" s="1"/>
  <c r="F84" i="6"/>
  <c r="E84" i="6"/>
  <c r="I83" i="6"/>
  <c r="H83" i="6"/>
  <c r="G83" i="6"/>
  <c r="J83" i="6" s="1"/>
  <c r="F83" i="6"/>
  <c r="E83" i="6"/>
  <c r="J82" i="6"/>
  <c r="I82" i="6"/>
  <c r="H82" i="6"/>
  <c r="G82" i="6"/>
  <c r="F82" i="6"/>
  <c r="E82" i="6"/>
  <c r="J81" i="6"/>
  <c r="I81" i="6"/>
  <c r="H81" i="6"/>
  <c r="G81" i="6"/>
  <c r="F81" i="6"/>
  <c r="E81" i="6"/>
  <c r="I80" i="6"/>
  <c r="H80" i="6"/>
  <c r="G80" i="6"/>
  <c r="J80" i="6" s="1"/>
  <c r="F80" i="6"/>
  <c r="E80" i="6"/>
  <c r="I79" i="6"/>
  <c r="H79" i="6"/>
  <c r="G79" i="6"/>
  <c r="J79" i="6" s="1"/>
  <c r="F79" i="6"/>
  <c r="E79" i="6"/>
  <c r="J78" i="6"/>
  <c r="I78" i="6"/>
  <c r="H78" i="6"/>
  <c r="G78" i="6"/>
  <c r="F78" i="6"/>
  <c r="E78" i="6"/>
  <c r="J77" i="6"/>
  <c r="I77" i="6"/>
  <c r="H77" i="6"/>
  <c r="G77" i="6"/>
  <c r="F77" i="6"/>
  <c r="E77" i="6"/>
  <c r="I76" i="6"/>
  <c r="H76" i="6"/>
  <c r="G76" i="6"/>
  <c r="J76" i="6" s="1"/>
  <c r="F76" i="6"/>
  <c r="E76" i="6"/>
  <c r="I75" i="6"/>
  <c r="H75" i="6"/>
  <c r="G75" i="6"/>
  <c r="J75" i="6" s="1"/>
  <c r="F75" i="6"/>
  <c r="E75" i="6"/>
  <c r="J74" i="6"/>
  <c r="I74" i="6"/>
  <c r="H74" i="6"/>
  <c r="G74" i="6"/>
  <c r="F74" i="6"/>
  <c r="E74" i="6"/>
  <c r="J73" i="6"/>
  <c r="I73" i="6"/>
  <c r="H73" i="6"/>
  <c r="G73" i="6"/>
  <c r="F73" i="6"/>
  <c r="E73" i="6"/>
  <c r="I72" i="6"/>
  <c r="H72" i="6"/>
  <c r="G72" i="6"/>
  <c r="J72" i="6" s="1"/>
  <c r="F72" i="6"/>
  <c r="E72" i="6"/>
  <c r="I71" i="6"/>
  <c r="H71" i="6"/>
  <c r="G71" i="6"/>
  <c r="J71" i="6" s="1"/>
  <c r="F71" i="6"/>
  <c r="E71" i="6"/>
  <c r="J70" i="6"/>
  <c r="I70" i="6"/>
  <c r="H70" i="6"/>
  <c r="G70" i="6"/>
  <c r="F70" i="6"/>
  <c r="E70" i="6"/>
  <c r="J69" i="6"/>
  <c r="I69" i="6"/>
  <c r="H69" i="6"/>
  <c r="G69" i="6"/>
  <c r="F69" i="6"/>
  <c r="E69" i="6"/>
  <c r="I68" i="6"/>
  <c r="H68" i="6"/>
  <c r="G68" i="6"/>
  <c r="J68" i="6" s="1"/>
  <c r="F68" i="6"/>
  <c r="E68" i="6"/>
  <c r="I67" i="6"/>
  <c r="H67" i="6"/>
  <c r="G67" i="6"/>
  <c r="J67" i="6" s="1"/>
  <c r="F67" i="6"/>
  <c r="E67" i="6"/>
  <c r="J66" i="6"/>
  <c r="I66" i="6"/>
  <c r="H66" i="6"/>
  <c r="G66" i="6"/>
  <c r="F66" i="6"/>
  <c r="E66" i="6"/>
  <c r="J65" i="6"/>
  <c r="I65" i="6"/>
  <c r="H65" i="6"/>
  <c r="G65" i="6"/>
  <c r="F65" i="6"/>
  <c r="E65" i="6"/>
  <c r="I64" i="6"/>
  <c r="H64" i="6"/>
  <c r="G64" i="6"/>
  <c r="J64" i="6" s="1"/>
  <c r="F64" i="6"/>
  <c r="E64" i="6"/>
  <c r="I63" i="6"/>
  <c r="H63" i="6"/>
  <c r="G63" i="6"/>
  <c r="J63" i="6" s="1"/>
  <c r="F63" i="6"/>
  <c r="E63" i="6"/>
  <c r="J62" i="6"/>
  <c r="I62" i="6"/>
  <c r="H62" i="6"/>
  <c r="G62" i="6"/>
  <c r="F62" i="6"/>
  <c r="E62" i="6"/>
  <c r="J61" i="6"/>
  <c r="I61" i="6"/>
  <c r="H61" i="6"/>
  <c r="G61" i="6"/>
  <c r="F61" i="6"/>
  <c r="E61" i="6"/>
  <c r="I60" i="6"/>
  <c r="H60" i="6"/>
  <c r="G60" i="6"/>
  <c r="J60" i="6" s="1"/>
  <c r="F60" i="6"/>
  <c r="E60" i="6"/>
  <c r="I59" i="6"/>
  <c r="H59" i="6"/>
  <c r="G59" i="6"/>
  <c r="J59" i="6" s="1"/>
  <c r="F59" i="6"/>
  <c r="E59" i="6"/>
  <c r="J58" i="6"/>
  <c r="I58" i="6"/>
  <c r="H58" i="6"/>
  <c r="G58" i="6"/>
  <c r="F58" i="6"/>
  <c r="E58" i="6"/>
  <c r="J57" i="6"/>
  <c r="I57" i="6"/>
  <c r="H57" i="6"/>
  <c r="G57" i="6"/>
  <c r="F57" i="6"/>
  <c r="E57" i="6"/>
  <c r="I56" i="6"/>
  <c r="H56" i="6"/>
  <c r="G56" i="6"/>
  <c r="J56" i="6" s="1"/>
  <c r="F56" i="6"/>
  <c r="E56" i="6"/>
  <c r="I55" i="6"/>
  <c r="H55" i="6"/>
  <c r="G55" i="6"/>
  <c r="J55" i="6" s="1"/>
  <c r="F55" i="6"/>
  <c r="E55" i="6"/>
  <c r="J54" i="6"/>
  <c r="I54" i="6"/>
  <c r="H54" i="6"/>
  <c r="G54" i="6"/>
  <c r="F54" i="6"/>
  <c r="E54" i="6"/>
  <c r="J53" i="6"/>
  <c r="I53" i="6"/>
  <c r="H53" i="6"/>
  <c r="G53" i="6"/>
  <c r="F53" i="6"/>
  <c r="E53" i="6"/>
  <c r="I52" i="6"/>
  <c r="H52" i="6"/>
  <c r="G52" i="6"/>
  <c r="J52" i="6" s="1"/>
  <c r="F52" i="6"/>
  <c r="E52" i="6"/>
  <c r="I51" i="6"/>
  <c r="H51" i="6"/>
  <c r="G51" i="6"/>
  <c r="J51" i="6" s="1"/>
  <c r="F51" i="6"/>
  <c r="E51" i="6"/>
  <c r="J50" i="6"/>
  <c r="I50" i="6"/>
  <c r="H50" i="6"/>
  <c r="G50" i="6"/>
  <c r="F50" i="6"/>
  <c r="E50" i="6"/>
  <c r="J49" i="6"/>
  <c r="I49" i="6"/>
  <c r="H49" i="6"/>
  <c r="G49" i="6"/>
  <c r="F49" i="6"/>
  <c r="E49" i="6"/>
  <c r="I48" i="6"/>
  <c r="H48" i="6"/>
  <c r="G48" i="6"/>
  <c r="J48" i="6" s="1"/>
  <c r="F48" i="6"/>
  <c r="E48" i="6"/>
  <c r="I47" i="6"/>
  <c r="H47" i="6"/>
  <c r="G47" i="6"/>
  <c r="J47" i="6" s="1"/>
  <c r="F47" i="6"/>
  <c r="E47" i="6"/>
  <c r="J46" i="6"/>
  <c r="I46" i="6"/>
  <c r="H46" i="6"/>
  <c r="G46" i="6"/>
  <c r="F46" i="6"/>
  <c r="E46" i="6"/>
  <c r="J45" i="6"/>
  <c r="I45" i="6"/>
  <c r="H45" i="6"/>
  <c r="G45" i="6"/>
  <c r="F45" i="6"/>
  <c r="E45" i="6"/>
  <c r="I44" i="6"/>
  <c r="H44" i="6"/>
  <c r="G44" i="6"/>
  <c r="J44" i="6" s="1"/>
  <c r="F44" i="6"/>
  <c r="E44" i="6"/>
  <c r="I43" i="6"/>
  <c r="H43" i="6"/>
  <c r="G43" i="6"/>
  <c r="J43" i="6" s="1"/>
  <c r="F43" i="6"/>
  <c r="E43" i="6"/>
  <c r="J42" i="6"/>
  <c r="I42" i="6"/>
  <c r="H42" i="6"/>
  <c r="G42" i="6"/>
  <c r="F42" i="6"/>
  <c r="E42" i="6"/>
  <c r="J41" i="6"/>
  <c r="I41" i="6"/>
  <c r="H41" i="6"/>
  <c r="G41" i="6"/>
  <c r="F41" i="6"/>
  <c r="E41" i="6"/>
  <c r="I40" i="6"/>
  <c r="H40" i="6"/>
  <c r="G40" i="6"/>
  <c r="J40" i="6" s="1"/>
  <c r="F40" i="6"/>
  <c r="E40" i="6"/>
  <c r="I39" i="6"/>
  <c r="H39" i="6"/>
  <c r="G39" i="6"/>
  <c r="J39" i="6" s="1"/>
  <c r="F39" i="6"/>
  <c r="E39" i="6"/>
  <c r="J38" i="6"/>
  <c r="I38" i="6"/>
  <c r="H38" i="6"/>
  <c r="G38" i="6"/>
  <c r="F38" i="6"/>
  <c r="E38" i="6"/>
  <c r="J37" i="6"/>
  <c r="I37" i="6"/>
  <c r="H37" i="6"/>
  <c r="G37" i="6"/>
  <c r="F37" i="6"/>
  <c r="E37" i="6"/>
  <c r="I36" i="6"/>
  <c r="H36" i="6"/>
  <c r="G36" i="6"/>
  <c r="J36" i="6" s="1"/>
  <c r="F36" i="6"/>
  <c r="E36" i="6"/>
  <c r="I35" i="6"/>
  <c r="H35" i="6"/>
  <c r="G35" i="6"/>
  <c r="J35" i="6" s="1"/>
  <c r="F35" i="6"/>
  <c r="E35" i="6"/>
  <c r="J34" i="6"/>
  <c r="I34" i="6"/>
  <c r="H34" i="6"/>
  <c r="G34" i="6"/>
  <c r="F34" i="6"/>
  <c r="E34" i="6"/>
  <c r="J33" i="6"/>
  <c r="I33" i="6"/>
  <c r="H33" i="6"/>
  <c r="G33" i="6"/>
  <c r="F33" i="6"/>
  <c r="E33" i="6"/>
  <c r="I32" i="6"/>
  <c r="H32" i="6"/>
  <c r="G32" i="6"/>
  <c r="J32" i="6" s="1"/>
  <c r="F32" i="6"/>
  <c r="E32" i="6"/>
  <c r="I31" i="6"/>
  <c r="H31" i="6"/>
  <c r="G31" i="6"/>
  <c r="J31" i="6" s="1"/>
  <c r="F31" i="6"/>
  <c r="E31" i="6"/>
  <c r="J30" i="6"/>
  <c r="I30" i="6"/>
  <c r="H30" i="6"/>
  <c r="G30" i="6"/>
  <c r="F30" i="6"/>
  <c r="E30" i="6"/>
  <c r="J29" i="6"/>
  <c r="I29" i="6"/>
  <c r="H29" i="6"/>
  <c r="G29" i="6"/>
  <c r="F29" i="6"/>
  <c r="E29" i="6"/>
  <c r="I28" i="6"/>
  <c r="H28" i="6"/>
  <c r="G28" i="6"/>
  <c r="J28" i="6" s="1"/>
  <c r="F28" i="6"/>
  <c r="E28" i="6"/>
  <c r="I27" i="6"/>
  <c r="H27" i="6"/>
  <c r="G27" i="6"/>
  <c r="J27" i="6" s="1"/>
  <c r="F27" i="6"/>
  <c r="E27" i="6"/>
  <c r="J26" i="6"/>
  <c r="I26" i="6"/>
  <c r="H26" i="6"/>
  <c r="G26" i="6"/>
  <c r="F26" i="6"/>
  <c r="E26" i="6"/>
  <c r="J25" i="6"/>
  <c r="I25" i="6"/>
  <c r="H25" i="6"/>
  <c r="G25" i="6"/>
  <c r="F25" i="6"/>
  <c r="E25" i="6"/>
  <c r="I24" i="6"/>
  <c r="H24" i="6"/>
  <c r="G24" i="6"/>
  <c r="J24" i="6" s="1"/>
  <c r="F24" i="6"/>
  <c r="E24" i="6"/>
  <c r="I23" i="6"/>
  <c r="H23" i="6"/>
  <c r="G23" i="6"/>
  <c r="J23" i="6" s="1"/>
  <c r="F23" i="6"/>
  <c r="E23" i="6"/>
  <c r="J22" i="6"/>
  <c r="I22" i="6"/>
  <c r="H22" i="6"/>
  <c r="G22" i="6"/>
  <c r="F22" i="6"/>
  <c r="E22" i="6"/>
  <c r="J21" i="6"/>
  <c r="I21" i="6"/>
  <c r="H21" i="6"/>
  <c r="G21" i="6"/>
  <c r="F21" i="6"/>
  <c r="E21" i="6"/>
  <c r="I20" i="6"/>
  <c r="H20" i="6"/>
  <c r="G20" i="6"/>
  <c r="J20" i="6" s="1"/>
  <c r="F20" i="6"/>
  <c r="E20" i="6"/>
  <c r="C12" i="6"/>
  <c r="C11" i="6"/>
  <c r="C8" i="6"/>
  <c r="C7" i="6"/>
  <c r="C5" i="6"/>
  <c r="J414" i="5"/>
  <c r="C16" i="6" s="1"/>
  <c r="I414" i="5"/>
  <c r="C15" i="6" s="1"/>
  <c r="G414" i="5"/>
  <c r="C13" i="6" s="1"/>
  <c r="F414" i="5"/>
  <c r="E414" i="5"/>
  <c r="D414" i="5"/>
  <c r="C6" i="6" s="1"/>
  <c r="V413" i="4"/>
  <c r="V412" i="4"/>
  <c r="V411" i="4"/>
  <c r="V410" i="4"/>
  <c r="V409" i="4"/>
  <c r="V408" i="4"/>
  <c r="V407" i="4"/>
  <c r="V406" i="4"/>
  <c r="V405" i="4"/>
  <c r="V404" i="4"/>
  <c r="V403" i="4"/>
  <c r="V402" i="4"/>
  <c r="V401" i="4"/>
  <c r="V400" i="4"/>
  <c r="V399" i="4"/>
  <c r="V398" i="4"/>
  <c r="V397" i="4"/>
  <c r="V396" i="4"/>
  <c r="V395" i="4"/>
  <c r="V394" i="4"/>
  <c r="V393" i="4"/>
  <c r="V392" i="4"/>
  <c r="V391" i="4"/>
  <c r="V390" i="4"/>
  <c r="V389" i="4"/>
  <c r="V388" i="4"/>
  <c r="V387" i="4"/>
  <c r="V386" i="4"/>
  <c r="V385" i="4"/>
  <c r="V384" i="4"/>
  <c r="V383" i="4"/>
  <c r="V382" i="4"/>
  <c r="V381" i="4"/>
  <c r="V380" i="4"/>
  <c r="V379" i="4"/>
  <c r="V378" i="4"/>
  <c r="V377" i="4"/>
  <c r="V376" i="4"/>
  <c r="V375" i="4"/>
  <c r="V374" i="4"/>
  <c r="V373" i="4"/>
  <c r="V372" i="4"/>
  <c r="V371" i="4"/>
  <c r="V370" i="4"/>
  <c r="V369" i="4"/>
  <c r="V368" i="4"/>
  <c r="V367" i="4"/>
  <c r="V366" i="4"/>
  <c r="V365" i="4"/>
  <c r="V364" i="4"/>
  <c r="V363" i="4"/>
  <c r="V362" i="4"/>
  <c r="V361" i="4"/>
  <c r="V360" i="4"/>
  <c r="V359" i="4"/>
  <c r="V358" i="4"/>
  <c r="V357" i="4"/>
  <c r="V356" i="4"/>
  <c r="V355" i="4"/>
  <c r="V354" i="4"/>
  <c r="V353" i="4"/>
  <c r="V352" i="4"/>
  <c r="V351" i="4"/>
  <c r="V350" i="4"/>
  <c r="V349" i="4"/>
  <c r="V348" i="4"/>
  <c r="V347" i="4"/>
  <c r="V346" i="4"/>
  <c r="V345" i="4"/>
  <c r="V344" i="4"/>
  <c r="V343" i="4"/>
  <c r="V342" i="4"/>
  <c r="V341" i="4"/>
  <c r="V340" i="4"/>
  <c r="V339" i="4"/>
  <c r="V338" i="4"/>
  <c r="V337" i="4"/>
  <c r="V336" i="4"/>
  <c r="V335" i="4"/>
  <c r="V334" i="4"/>
  <c r="V333" i="4"/>
  <c r="V332" i="4"/>
  <c r="V331" i="4"/>
  <c r="V330" i="4"/>
  <c r="V329" i="4"/>
  <c r="V328" i="4"/>
  <c r="V327" i="4"/>
  <c r="V326" i="4"/>
  <c r="V325" i="4"/>
  <c r="V324" i="4"/>
  <c r="V323" i="4"/>
  <c r="V322" i="4"/>
  <c r="V321" i="4"/>
  <c r="V320" i="4"/>
  <c r="V319" i="4"/>
  <c r="V318" i="4"/>
  <c r="V317" i="4"/>
  <c r="V316" i="4"/>
  <c r="V315" i="4"/>
  <c r="V314" i="4"/>
  <c r="V313" i="4"/>
  <c r="V312" i="4"/>
  <c r="V311" i="4"/>
  <c r="V310" i="4"/>
  <c r="V309" i="4"/>
  <c r="V308" i="4"/>
  <c r="V307" i="4"/>
  <c r="V306" i="4"/>
  <c r="V305" i="4"/>
  <c r="V304" i="4"/>
  <c r="V303" i="4"/>
  <c r="V302" i="4"/>
  <c r="V301" i="4"/>
  <c r="V300" i="4"/>
  <c r="V299" i="4"/>
  <c r="V298" i="4"/>
  <c r="V297" i="4"/>
  <c r="V296" i="4"/>
  <c r="V295" i="4"/>
  <c r="V294" i="4"/>
  <c r="V293" i="4"/>
  <c r="V292" i="4"/>
  <c r="V291" i="4"/>
  <c r="V290" i="4"/>
  <c r="V289" i="4"/>
  <c r="V288" i="4"/>
  <c r="V287" i="4"/>
  <c r="V286" i="4"/>
  <c r="V285" i="4"/>
  <c r="V284" i="4"/>
  <c r="V283" i="4"/>
  <c r="V282" i="4"/>
  <c r="V281" i="4"/>
  <c r="V280" i="4"/>
  <c r="V279" i="4"/>
  <c r="V278" i="4"/>
  <c r="V277" i="4"/>
  <c r="V276" i="4"/>
  <c r="V275" i="4"/>
  <c r="V274" i="4"/>
  <c r="V273" i="4"/>
  <c r="V272" i="4"/>
  <c r="V271" i="4"/>
  <c r="V270" i="4"/>
  <c r="V269" i="4"/>
  <c r="V268" i="4"/>
  <c r="V267" i="4"/>
  <c r="V266" i="4"/>
  <c r="V265" i="4"/>
  <c r="V264" i="4"/>
  <c r="V263" i="4"/>
  <c r="V262" i="4"/>
  <c r="V261" i="4"/>
  <c r="V260" i="4"/>
  <c r="V259" i="4"/>
  <c r="V258" i="4"/>
  <c r="V257" i="4"/>
  <c r="V256" i="4"/>
  <c r="V255" i="4"/>
  <c r="V254" i="4"/>
  <c r="V253" i="4"/>
  <c r="V252" i="4"/>
  <c r="V251" i="4"/>
  <c r="V250" i="4"/>
  <c r="V249" i="4"/>
  <c r="V248" i="4"/>
  <c r="V247" i="4"/>
  <c r="V246" i="4"/>
  <c r="V245" i="4"/>
  <c r="V244" i="4"/>
  <c r="V243" i="4"/>
  <c r="V242" i="4"/>
  <c r="V241" i="4"/>
  <c r="V240" i="4"/>
  <c r="V239" i="4"/>
  <c r="V238" i="4"/>
  <c r="V237" i="4"/>
  <c r="V236" i="4"/>
  <c r="V235" i="4"/>
  <c r="V234" i="4"/>
  <c r="V233" i="4"/>
  <c r="V232" i="4"/>
  <c r="V231" i="4"/>
  <c r="V230" i="4"/>
  <c r="V229" i="4"/>
  <c r="V228" i="4"/>
  <c r="V227" i="4"/>
  <c r="V226" i="4"/>
  <c r="V225" i="4"/>
  <c r="V224" i="4"/>
  <c r="V223" i="4"/>
  <c r="V222" i="4"/>
  <c r="V221" i="4"/>
  <c r="V220" i="4"/>
  <c r="V219" i="4"/>
  <c r="V218" i="4"/>
  <c r="V217" i="4"/>
  <c r="V216" i="4"/>
  <c r="V215" i="4"/>
  <c r="V214" i="4"/>
  <c r="V213" i="4"/>
  <c r="V212" i="4"/>
  <c r="V211" i="4"/>
  <c r="V210" i="4"/>
  <c r="V209" i="4"/>
  <c r="V208" i="4"/>
  <c r="V207" i="4"/>
  <c r="V206" i="4"/>
  <c r="V205" i="4"/>
  <c r="V204" i="4"/>
  <c r="V203" i="4"/>
  <c r="V202" i="4"/>
  <c r="V201" i="4"/>
  <c r="V200" i="4"/>
  <c r="V199" i="4"/>
  <c r="V198" i="4"/>
  <c r="V197" i="4"/>
  <c r="V196" i="4"/>
  <c r="V195" i="4"/>
  <c r="V194" i="4"/>
  <c r="V193" i="4"/>
  <c r="V192" i="4"/>
  <c r="V191" i="4"/>
  <c r="V190" i="4"/>
  <c r="V189" i="4"/>
  <c r="V188" i="4"/>
  <c r="V187" i="4"/>
  <c r="V186" i="4"/>
  <c r="V185" i="4"/>
  <c r="V184" i="4"/>
  <c r="V183" i="4"/>
  <c r="V182" i="4"/>
  <c r="V181" i="4"/>
  <c r="V180" i="4"/>
  <c r="V179" i="4"/>
  <c r="V178" i="4"/>
  <c r="V177" i="4"/>
  <c r="V176" i="4"/>
  <c r="V175" i="4"/>
  <c r="V174" i="4"/>
  <c r="V173" i="4"/>
  <c r="V172" i="4"/>
  <c r="V171" i="4"/>
  <c r="V170" i="4"/>
  <c r="V169" i="4"/>
  <c r="V168" i="4"/>
  <c r="V167" i="4"/>
  <c r="V166" i="4"/>
  <c r="V165" i="4"/>
  <c r="V164" i="4"/>
  <c r="V163" i="4"/>
  <c r="V162" i="4"/>
  <c r="V161" i="4"/>
  <c r="V160" i="4"/>
  <c r="V159" i="4"/>
  <c r="V158" i="4"/>
  <c r="V157" i="4"/>
  <c r="V156" i="4"/>
  <c r="V155" i="4"/>
  <c r="V154" i="4"/>
  <c r="V153" i="4"/>
  <c r="V152" i="4"/>
  <c r="V151" i="4"/>
  <c r="V150" i="4"/>
  <c r="V149" i="4"/>
  <c r="V148" i="4"/>
  <c r="V147" i="4"/>
  <c r="V146" i="4"/>
  <c r="V145" i="4"/>
  <c r="V144" i="4"/>
  <c r="V143" i="4"/>
  <c r="V142" i="4"/>
  <c r="V141" i="4"/>
  <c r="V140" i="4"/>
  <c r="V139" i="4"/>
  <c r="V138" i="4"/>
  <c r="V137" i="4"/>
  <c r="V136" i="4"/>
  <c r="V135" i="4"/>
  <c r="V134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V2" i="4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E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62" i="1" s="1"/>
  <c r="F446" i="1"/>
  <c r="F445" i="1"/>
  <c r="F444" i="1"/>
  <c r="E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39" i="1" s="1"/>
  <c r="E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16" i="1" s="1"/>
  <c r="F400" i="1"/>
  <c r="F399" i="1"/>
  <c r="F398" i="1"/>
  <c r="E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93" i="1" s="1"/>
  <c r="E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70" i="1" s="1"/>
  <c r="F354" i="1"/>
  <c r="F353" i="1"/>
  <c r="F352" i="1"/>
  <c r="E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47" i="1" s="1"/>
  <c r="E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24" i="1" s="1"/>
  <c r="F308" i="1"/>
  <c r="F307" i="1"/>
  <c r="F306" i="1"/>
  <c r="E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301" i="1" s="1"/>
  <c r="E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78" i="1" s="1"/>
  <c r="F262" i="1"/>
  <c r="F261" i="1"/>
  <c r="F260" i="1"/>
  <c r="E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55" i="1" s="1"/>
  <c r="E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32" i="1" s="1"/>
  <c r="F216" i="1"/>
  <c r="F215" i="1"/>
  <c r="F214" i="1"/>
  <c r="E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209" i="1" s="1"/>
  <c r="E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86" i="1" s="1"/>
  <c r="F170" i="1"/>
  <c r="F169" i="1"/>
  <c r="F168" i="1"/>
  <c r="E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63" i="1" s="1"/>
  <c r="E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40" i="1" s="1"/>
  <c r="F124" i="1"/>
  <c r="F123" i="1"/>
  <c r="F122" i="1"/>
  <c r="E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117" i="1" s="1"/>
  <c r="E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94" i="1" s="1"/>
  <c r="F78" i="1"/>
  <c r="F77" i="1"/>
  <c r="F76" i="1"/>
  <c r="E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71" i="1" s="1"/>
  <c r="E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48" i="1" s="1"/>
  <c r="F32" i="1"/>
  <c r="F31" i="1"/>
  <c r="F30" i="1"/>
  <c r="E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25" i="1" s="1"/>
  <c r="H414" i="5" l="1"/>
  <c r="C14" i="6" s="1"/>
</calcChain>
</file>

<file path=xl/sharedStrings.xml><?xml version="1.0" encoding="utf-8"?>
<sst xmlns="http://schemas.openxmlformats.org/spreadsheetml/2006/main" count="6095" uniqueCount="1284">
  <si>
    <t>VALIDATION SAMPLE: 20 Occupations — Full Task Decomposition</t>
  </si>
  <si>
    <t>For each occupation: review Claude's % allocation, enter your estimate in the green column, mark Agree? (Y/N), add notes. Totals must sum to 100%.</t>
  </si>
  <si>
    <t>SOC 1111: Chief executives and senior officials</t>
  </si>
  <si>
    <t>Emp: 167,737</t>
  </si>
  <si>
    <t>Raw: 48.5%</t>
  </si>
  <si>
    <t>PI: 29.1%</t>
  </si>
  <si>
    <t>Hrs/wk: 10.8</t>
  </si>
  <si>
    <t>Reasoning: Senior leadership. Expect heavy Strategic Judgement (25-30%), Negotiation (10-15%), Supervision (15-20%). Minimal manual/physical.</t>
  </si>
  <si>
    <t>Task</t>
  </si>
  <si>
    <t>AI Score</t>
  </si>
  <si>
    <t>Claude %</t>
  </si>
  <si>
    <t>Contribution</t>
  </si>
  <si>
    <t>Your %</t>
  </si>
  <si>
    <t>Your Contrib</t>
  </si>
  <si>
    <t>Agree?</t>
  </si>
  <si>
    <t>Notes</t>
  </si>
  <si>
    <t>T01 Structured Data Entry &amp; Proc</t>
  </si>
  <si>
    <t>T02 Routine Text Generation</t>
  </si>
  <si>
    <t>T03 Information Retrieval &amp; Synt</t>
  </si>
  <si>
    <t>T04 Scheduling &amp; Coordination</t>
  </si>
  <si>
    <t>T05 Routine Numerical Analysis</t>
  </si>
  <si>
    <t>T06 Classification &amp; Sorting</t>
  </si>
  <si>
    <t>T07 Complex Document Drafting</t>
  </si>
  <si>
    <t>T08 Customer/Client Communicatio</t>
  </si>
  <si>
    <t>T09 Translation &amp; Language Servi</t>
  </si>
  <si>
    <t>T10 Technical Analysis &amp; Problem</t>
  </si>
  <si>
    <t>T11 Creative Design &amp; Content</t>
  </si>
  <si>
    <t>T12 Strategic Judgement &amp; Decisi</t>
  </si>
  <si>
    <t>T13 Negotiation &amp; Persuasion</t>
  </si>
  <si>
    <t>T14 Teaching, Training &amp; Mentori</t>
  </si>
  <si>
    <t>T15 Supervision &amp; People Managem</t>
  </si>
  <si>
    <t>T16 Physical Care &amp; Personal Ser</t>
  </si>
  <si>
    <t>T17 Skilled Manual &amp; Technical O</t>
  </si>
  <si>
    <t>T18 Outdoor/Physical Labour</t>
  </si>
  <si>
    <t>TOTAL</t>
  </si>
  <si>
    <t>SOC 2112: Biological scientists</t>
  </si>
  <si>
    <t>Emp: 75,214</t>
  </si>
  <si>
    <t>Raw: 64.3%</t>
  </si>
  <si>
    <t>PI: 38.6%</t>
  </si>
  <si>
    <t>Hrs/wk: 14.3</t>
  </si>
  <si>
    <t>Reasoning: Lab scientists. Expect heavy Research/Info Retrieval (15-20%) and Technical Analysis (20-25%). Some manual lab work (5-10%).</t>
  </si>
  <si>
    <t>SOC 2411: Barristers and judges</t>
  </si>
  <si>
    <t>Emp: 77,065</t>
  </si>
  <si>
    <t>Raw: 60.0%</t>
  </si>
  <si>
    <t>PI: 36.0%</t>
  </si>
  <si>
    <t>Hrs/wk: 13.3</t>
  </si>
  <si>
    <t>Reasoning: Solicitors. Expect heavy Complex Document Drafting (20-25%), Research (15-20%), Strategic Judgement (10-15%). Zero physical.</t>
  </si>
  <si>
    <t>SOC 2423: Taxation experts</t>
  </si>
  <si>
    <t>Raw: 64.7%</t>
  </si>
  <si>
    <t>PI: 38.8%</t>
  </si>
  <si>
    <t>Hrs/wk: 14.4</t>
  </si>
  <si>
    <t>Reasoning: Management consultants. Expect Research (15-20%), Document Drafting (15-20%), Client Communication (10-15%), Strategic (10-15%).</t>
  </si>
  <si>
    <t>SOC 3112: Electrical and electronics technicians</t>
  </si>
  <si>
    <t>Emp: 57,000</t>
  </si>
  <si>
    <t>Raw: 45.6%</t>
  </si>
  <si>
    <t>PI: 27.3%</t>
  </si>
  <si>
    <t>Hrs/wk: 10.1</t>
  </si>
  <si>
    <t>Reasoning: Electronics technicians. Split between Technical Analysis (15-20%), Skilled Manual (25-30%), some admin/documentation.</t>
  </si>
  <si>
    <t>SOC 3531: Estimators, valuers and assessors</t>
  </si>
  <si>
    <t>Emp: 64,618</t>
  </si>
  <si>
    <t>Raw: 61.1%</t>
  </si>
  <si>
    <t>PI: 36.7%</t>
  </si>
  <si>
    <t>Hrs/wk: 13.6</t>
  </si>
  <si>
    <t>Reasoning: Financial technicians. Expect Numerical Analysis (20-25%), Data Entry (15-20%), Document Drafting (10-15%). Desk-based.</t>
  </si>
  <si>
    <t>SOC 3563: Vocational and industrial trainers and instructors</t>
  </si>
  <si>
    <t>Raw: 46.2%</t>
  </si>
  <si>
    <t>PI: 27.7%</t>
  </si>
  <si>
    <t>Hrs/wk: 10.3</t>
  </si>
  <si>
    <t>Reasoning: HR officers. Expect Communication (15-20%), Document Drafting (10-15%), People Management (10-15%), admin tasks.</t>
  </si>
  <si>
    <t>SOC 4112: Civil service administrative officers and assistants</t>
  </si>
  <si>
    <t>Emp: 117,750</t>
  </si>
  <si>
    <t>Raw: 57.5%</t>
  </si>
  <si>
    <t>PI: 34.5%</t>
  </si>
  <si>
    <t>Hrs/wk: 12.8</t>
  </si>
  <si>
    <t>Reasoning: Government admin. Expect Data Entry (15-20%), Text Generation (10-15%), Classification (10-15%). Almost entirely desk-based.</t>
  </si>
  <si>
    <t>SOC 4122: Book-keepers, payroll managers and wages clerks</t>
  </si>
  <si>
    <t>Raw: 67.1%</t>
  </si>
  <si>
    <t>PI: 40.3%</t>
  </si>
  <si>
    <t>Hrs/wk: 14.9</t>
  </si>
  <si>
    <t>Reasoning: Book-keepers. Expect Data Entry (20-30%), Numerical Analysis (25-30%). Almost entirely desk-based. Minimal manual/physical.</t>
  </si>
  <si>
    <t>SOC 4215: Personal assistants and other secretaries</t>
  </si>
  <si>
    <t>Emp: 107,857</t>
  </si>
  <si>
    <t>Raw: 67.6%</t>
  </si>
  <si>
    <t>PI: 40.6%</t>
  </si>
  <si>
    <t>Hrs/wk: 15.0</t>
  </si>
  <si>
    <t>Reasoning: PAs/secretaries. Expect Scheduling (20-25%), Text Generation (15-20%), Communication (10-15%). Entirely desk-based.</t>
  </si>
  <si>
    <t>SOC 5241: Electricians and electrical fitters (installation)</t>
  </si>
  <si>
    <t>Emp: 64,200</t>
  </si>
  <si>
    <t>Raw: 34.6%</t>
  </si>
  <si>
    <t>PI: 20.7%</t>
  </si>
  <si>
    <t>Hrs/wk: 7.7</t>
  </si>
  <si>
    <t>Reasoning: Electricians. Expect Skilled Manual (40-50%), Technical Analysis (10-15%), some admin. Physical but skilled, mostly indoors.</t>
  </si>
  <si>
    <t>SOC 5434: Chefs</t>
  </si>
  <si>
    <t>Emp: 42,000</t>
  </si>
  <si>
    <t>Raw: 28.5%</t>
  </si>
  <si>
    <t>PI: 17.1%</t>
  </si>
  <si>
    <t>Hrs/wk: 6.3</t>
  </si>
  <si>
    <t>Reasoning: Chefs. Expect Skilled Manual (40-50%), some Creative (5-10%), People Management (5-10%). Indoor work, not outdoor physical.</t>
  </si>
  <si>
    <t>SOC 6131: Care workers and home carers</t>
  </si>
  <si>
    <t>Emp: 125,267</t>
  </si>
  <si>
    <t>Raw: 29.8%</t>
  </si>
  <si>
    <t>PI: 17.9%</t>
  </si>
  <si>
    <t>Hrs/wk: 6.6</t>
  </si>
  <si>
    <t>Reasoning: Care workers. Expect Physical Care (40-55%), Communication (10-15%), Documentation (5-10%). Hands-on role.</t>
  </si>
  <si>
    <t>SOC 7111: Sales and retail assistants</t>
  </si>
  <si>
    <t>Emp: 109,800</t>
  </si>
  <si>
    <t>Raw: 46.1%</t>
  </si>
  <si>
    <t>PI: 27.6%</t>
  </si>
  <si>
    <t>Hrs/wk: 10.2</t>
  </si>
  <si>
    <t>Reasoning: Retail assistants. Expect Customer Communication (25-35%), some Physical stocking (15-20%), Classification (5-10%).</t>
  </si>
  <si>
    <t>SOC 7211: Call and contact centre occupations</t>
  </si>
  <si>
    <t>Emp: 92,667</t>
  </si>
  <si>
    <t>PI: 40.2%</t>
  </si>
  <si>
    <t>Reasoning: Call centre. Expect Customer Communication (35-45%), Data Entry (10-15%), Classification (8-12%). Zero physical.</t>
  </si>
  <si>
    <t>SOC 8132: Assemblers (vehicles and metal goods)</t>
  </si>
  <si>
    <t>Emp: 40,308</t>
  </si>
  <si>
    <t>Raw: 25.1%</t>
  </si>
  <si>
    <t>PI: 15.1%</t>
  </si>
  <si>
    <t>Hrs/wk: 5.6</t>
  </si>
  <si>
    <t>Reasoning: Assemblers. Expect Skilled Manual (45-55%), Physical Labour (15-25%). Minimal cognitive tasks.</t>
  </si>
  <si>
    <t>SOC 8212: Bus and coach drivers</t>
  </si>
  <si>
    <t>Emp: 143,625</t>
  </si>
  <si>
    <t>Raw: 18.3%</t>
  </si>
  <si>
    <t>PI: 11.0%</t>
  </si>
  <si>
    <t>Hrs/wk: 4.1</t>
  </si>
  <si>
    <t>Reasoning: Van drivers. Expect manual driving/delivery (dominant), some Scheduling, minimal admin.</t>
  </si>
  <si>
    <t>SOC 9132: Packers, bottlers, canners and fillers</t>
  </si>
  <si>
    <t>Emp: 59,750</t>
  </si>
  <si>
    <t>Raw: 21.0%</t>
  </si>
  <si>
    <t>PI: 12.6%</t>
  </si>
  <si>
    <t>Hrs/wk: 4.7</t>
  </si>
  <si>
    <t>Reasoning: Packers/fillers. Expect Physical Labour (40-55%), Manual Operations (20-30%). Very minimal cognitive.</t>
  </si>
  <si>
    <t>SOC 9233: Exam invigilators</t>
  </si>
  <si>
    <t>Emp: 94,680</t>
  </si>
  <si>
    <t>Raw: 24.7%</t>
  </si>
  <si>
    <t>PI: 14.8%</t>
  </si>
  <si>
    <t>Hrs/wk: 5.5</t>
  </si>
  <si>
    <t>Reasoning: Exam invigilators/midday supervisors. Expect Supervision (20-30%), Physical presence (20-30%), some Communication.</t>
  </si>
  <si>
    <t>SOC 9261: Bar and catering supervisors</t>
  </si>
  <si>
    <t>Raw: 37.3%</t>
  </si>
  <si>
    <t>PI: 22.4%</t>
  </si>
  <si>
    <t>Hrs/wk: 8.3</t>
  </si>
  <si>
    <t>Reasoning: Elementary storage. Expect Physical Labour (50-60%), some Classification/Sorting. Minimal cognitive.</t>
  </si>
  <si>
    <t>AWA AI IMPACT ASSESSMENT: UK OCCUPATIONS (SOC 2020)</t>
  </si>
  <si>
    <t>Full 412 Unit Group Task Decomposition Model — May 2026 Frontier Calibration</t>
  </si>
  <si>
    <t>METHODOLOGY</t>
  </si>
  <si>
    <t>This model estimates the practical impact of current AI capabilities on UK occupations using a task decomposition approach.</t>
  </si>
  <si>
    <t>It measures two distinct effects: task substitution (time saved on existing work) and capability amplification (new productive output AI enables).</t>
  </si>
  <si>
    <t>APPROACH</t>
  </si>
  <si>
    <t>1. Define 18 standardised task categories covering all work activities, each scored for AI susceptibility (0–1)</t>
  </si>
  <si>
    <t>2. Scores calibrated to May 2026 frontier capability (agentic AI, production video gen, enterprise Copilot)</t>
  </si>
  <si>
    <t>3. Estimate time allocation (%) across 18 tasks for each of 412 SOC 2020 unit groups</t>
  </si>
  <si>
    <t>4. Calculate AI exposure as weighted sum: SUMPRODUCT(task_time% × task_susceptibility)</t>
  </si>
  <si>
    <t>5. Apply sector-specific adoption discount (0.48–0.60) reflecting differential deployment rates</t>
  </si>
  <si>
    <t>6. Apply capability amplification multiplier (1.0×–2.5×) by occupational family</t>
  </si>
  <si>
    <t>7. Convert to practical hours freed, FTE equivalent capacity, and combined value</t>
  </si>
  <si>
    <t>FORMULA</t>
  </si>
  <si>
    <t>Practical Impact = Σ(task weight × AI score) × sector-specific adoption discount</t>
  </si>
  <si>
    <t>Combined Value = Substitution hours × Capability multiplier</t>
  </si>
  <si>
    <t>RESEARCH ANCHORS</t>
  </si>
  <si>
    <t>• Eloundou, Manning, Mishkin &amp; Rock (2024) "GPTs are GPTs" — Science, task exposure framework</t>
  </si>
  <si>
    <t>• Gmyrek, Berg &amp; Bescond (2023) ILO Working Paper 96 — Global AI exposure analysis</t>
  </si>
  <si>
    <t>• Felten, Raj &amp; Seamans (2021) — Ability-based AI occupational exposure measures (AIOE)</t>
  </si>
  <si>
    <t>• OECD AI and Labour Market Programme — Cross-country empirical evidence</t>
  </si>
  <si>
    <t>• Microsoft 2026 Work Trend Index — 20,000 workers, validation of adoption and amplification</t>
  </si>
  <si>
    <t>ADOPTION DISCOUNTS (sector-specific)</t>
  </si>
  <si>
    <t>0.48 — Admin, customer service, technology (fast adopters, enterprise agents deployed)</t>
  </si>
  <si>
    <t>0.50 — Professional/knowledge work (strong tooling, proven ROI)</t>
  </si>
  <si>
    <t>0.55–0.58 — Health, education, managers (partial deployment, regulatory caution)</t>
  </si>
  <si>
    <t>0.58–0.60 — Physical trades, caring, elementary (limited AI interface)</t>
  </si>
  <si>
    <t>CAPABILITY AMPLIFICATION MULTIPLIERS</t>
  </si>
  <si>
    <t>2.5× — Scientists, researchers, actuaries (research at previously unfeasible scale)</t>
  </si>
  <si>
    <t>2.0× — Engineers, IT, designers, media (broader prototyping and investigation)</t>
  </si>
  <si>
    <t>1.5–1.8× — Directors, professionals, HR (richer intelligence, deeper due diligence)</t>
  </si>
  <si>
    <t>1.0–1.1× — Trades, operatives, elementary (minimal amplification)</t>
  </si>
  <si>
    <t>Task ID</t>
  </si>
  <si>
    <t>Task Category</t>
  </si>
  <si>
    <t>AI Susceptibility
(May 2026)</t>
  </si>
  <si>
    <t>Exposure Band</t>
  </si>
  <si>
    <t>Research Anchor / Citation</t>
  </si>
  <si>
    <t>T01</t>
  </si>
  <si>
    <t>Structured Data Entry &amp; Processing</t>
  </si>
  <si>
    <t>HIGH</t>
  </si>
  <si>
    <t>Eloundou E1 direct; ILO 0.85-0.95</t>
  </si>
  <si>
    <t>T02</t>
  </si>
  <si>
    <t>Routine Text Generation</t>
  </si>
  <si>
    <t>Eloundou E1; ILO 0.80+</t>
  </si>
  <si>
    <t>T03</t>
  </si>
  <si>
    <t>Information Retrieval &amp; Synthesis</t>
  </si>
  <si>
    <t>Eloundou E1-E2; Felten high LM</t>
  </si>
  <si>
    <t>T04</t>
  </si>
  <si>
    <t>Scheduling &amp; Coordination</t>
  </si>
  <si>
    <t>ILO Gmyrek 0.70-0.85</t>
  </si>
  <si>
    <t>T05</t>
  </si>
  <si>
    <t>Routine Numerical Analysis</t>
  </si>
  <si>
    <t>Eloundou E1-E2; OECD high</t>
  </si>
  <si>
    <t>T06</t>
  </si>
  <si>
    <t>Classification &amp; Sorting</t>
  </si>
  <si>
    <t>T07</t>
  </si>
  <si>
    <t>Complex Document Drafting</t>
  </si>
  <si>
    <t>MODERATE-HIGH</t>
  </si>
  <si>
    <t>Eloundou E2; ILO 0.55-0.75</t>
  </si>
  <si>
    <t>T08</t>
  </si>
  <si>
    <t>Customer/Client Communication</t>
  </si>
  <si>
    <t>ILO Gmyrek 0.50-0.75</t>
  </si>
  <si>
    <t>T09</t>
  </si>
  <si>
    <t>Translation &amp; Language Services</t>
  </si>
  <si>
    <t>Eloundou E1; Felten highest LM</t>
  </si>
  <si>
    <t>T10</t>
  </si>
  <si>
    <t>Technical Analysis &amp; Problem-Solving</t>
  </si>
  <si>
    <t>Eloundou E2; OECD moderate</t>
  </si>
  <si>
    <t>T11</t>
  </si>
  <si>
    <t>Creative Design &amp; Content</t>
  </si>
  <si>
    <t>Felten moderate-high; Eloundou E1-E2</t>
  </si>
  <si>
    <t>T12</t>
  </si>
  <si>
    <t>Strategic Judgement &amp; Decision-Making</t>
  </si>
  <si>
    <t>MODERATE</t>
  </si>
  <si>
    <t>Eloundou E0-E1; OECD low high-stakes</t>
  </si>
  <si>
    <t>T13</t>
  </si>
  <si>
    <t>Negotiation &amp; Persuasion</t>
  </si>
  <si>
    <t>ILO Gmyrek 0.15-0.30</t>
  </si>
  <si>
    <t>T14</t>
  </si>
  <si>
    <t>Teaching, Training &amp; Mentoring</t>
  </si>
  <si>
    <t>ILO Gmyrek 0.25-0.40</t>
  </si>
  <si>
    <t>T15</t>
  </si>
  <si>
    <t>Supervision &amp; People Management</t>
  </si>
  <si>
    <t>LOW</t>
  </si>
  <si>
    <t>Eloundou E0; ILO 0.15-0.25</t>
  </si>
  <si>
    <t>T16</t>
  </si>
  <si>
    <t>Physical Care &amp; Personal Service</t>
  </si>
  <si>
    <t>ILO 0.02-0.10; all studies lowest</t>
  </si>
  <si>
    <t>T17</t>
  </si>
  <si>
    <t>Skilled Manual &amp; Technical Operations</t>
  </si>
  <si>
    <t>Eloundou E0; Felten lowest</t>
  </si>
  <si>
    <t>T18</t>
  </si>
  <si>
    <t>Outdoor/Physical Labour</t>
  </si>
  <si>
    <t>All studies 0.02-0.08</t>
  </si>
  <si>
    <t>ADOPTION DISCOUNT FACTOR</t>
  </si>
  <si>
    <t>Standard Weekly Hours</t>
  </si>
  <si>
    <t>Scores (horizontal for SUMPRODUCT)</t>
  </si>
  <si>
    <t>SOC Code</t>
  </si>
  <si>
    <t>Occupation Title</t>
  </si>
  <si>
    <t>Sub-Major Group</t>
  </si>
  <si>
    <t>T01
Structured Data Entry &amp; Processing</t>
  </si>
  <si>
    <t>T02
Routine Text Generation</t>
  </si>
  <si>
    <t>T03
Information Retrieval &amp; Synthesis</t>
  </si>
  <si>
    <t>T04
Scheduling &amp; Coordination</t>
  </si>
  <si>
    <t>T05
Routine Numerical Analysis</t>
  </si>
  <si>
    <t>T06
Classification &amp; Sorting</t>
  </si>
  <si>
    <t>T07
Complex Document Drafting</t>
  </si>
  <si>
    <t>T08
Customer/Client Communication</t>
  </si>
  <si>
    <t>T09
Translation &amp; Language Services</t>
  </si>
  <si>
    <t>T10
Technical Analysis &amp; Problem-Solving</t>
  </si>
  <si>
    <t>T11
Creative Design &amp; Content</t>
  </si>
  <si>
    <t>T12
Strategic Judgement &amp; Decision-Making</t>
  </si>
  <si>
    <t>T13
Negotiation &amp; Persuasion</t>
  </si>
  <si>
    <t>T14
Teaching, Training &amp; Mentoring</t>
  </si>
  <si>
    <t>T15
Supervision &amp; People Management</t>
  </si>
  <si>
    <t>T16
Physical Care &amp; Personal Service</t>
  </si>
  <si>
    <t>T17
Skilled Manual &amp; Technical Operations</t>
  </si>
  <si>
    <t>T18
Outdoor/Physical Labour</t>
  </si>
  <si>
    <t>CHECK (=100)</t>
  </si>
  <si>
    <t>1111</t>
  </si>
  <si>
    <t>Chief executives and senior officials</t>
  </si>
  <si>
    <t>Corporate Managers &amp; Directors</t>
  </si>
  <si>
    <t>1112</t>
  </si>
  <si>
    <t>Elected officers and representatives</t>
  </si>
  <si>
    <t>1113</t>
  </si>
  <si>
    <t>Senior police officers</t>
  </si>
  <si>
    <t>1114</t>
  </si>
  <si>
    <t>Officers in armed forces</t>
  </si>
  <si>
    <t>1115</t>
  </si>
  <si>
    <t>Senior officers in fire, ambulance, prison and related services</t>
  </si>
  <si>
    <t>1131</t>
  </si>
  <si>
    <t>Financial managers and directors</t>
  </si>
  <si>
    <t>1132</t>
  </si>
  <si>
    <t>Marketing, sales and advertising directors</t>
  </si>
  <si>
    <t>1133</t>
  </si>
  <si>
    <t>Purchasing managers and directors</t>
  </si>
  <si>
    <t>1134</t>
  </si>
  <si>
    <t>Human resource managers and directors</t>
  </si>
  <si>
    <t>1135</t>
  </si>
  <si>
    <t>Charitable organisation managers and directors</t>
  </si>
  <si>
    <t>1136</t>
  </si>
  <si>
    <t>Research and development managers</t>
  </si>
  <si>
    <t>1137</t>
  </si>
  <si>
    <t>Information technology directors</t>
  </si>
  <si>
    <t>1139</t>
  </si>
  <si>
    <t>Functional managers and directors n.e.c.</t>
  </si>
  <si>
    <t>1140</t>
  </si>
  <si>
    <t>Directors in logistics, warehousing and transport</t>
  </si>
  <si>
    <t>1150</t>
  </si>
  <si>
    <t>Production managers and directors in manufacturing</t>
  </si>
  <si>
    <t>1161</t>
  </si>
  <si>
    <t>Production managers and directors in construction</t>
  </si>
  <si>
    <t>1162</t>
  </si>
  <si>
    <t>Production managers and directors in mining and energy</t>
  </si>
  <si>
    <t>1171</t>
  </si>
  <si>
    <t>Health services and public health managers and directors</t>
  </si>
  <si>
    <t>1172</t>
  </si>
  <si>
    <t>Social services managers and directors</t>
  </si>
  <si>
    <t>1211</t>
  </si>
  <si>
    <t>Managers and proprietors in agriculture and horticulture</t>
  </si>
  <si>
    <t>Other Managers &amp; Proprietors</t>
  </si>
  <si>
    <t>1212</t>
  </si>
  <si>
    <t>Managers and proprietors in forestry, fishing and related</t>
  </si>
  <si>
    <t>1221</t>
  </si>
  <si>
    <t>Hotel and accommodation managers and proprietors</t>
  </si>
  <si>
    <t>1222</t>
  </si>
  <si>
    <t>Restaurant and catering establishment managers and proprietors</t>
  </si>
  <si>
    <t>1223</t>
  </si>
  <si>
    <t>Publicans and managers of licensed premises</t>
  </si>
  <si>
    <t>1224</t>
  </si>
  <si>
    <t>Leisure and sports managers</t>
  </si>
  <si>
    <t>1225</t>
  </si>
  <si>
    <t>Travel agency managers and proprietors</t>
  </si>
  <si>
    <t>1231</t>
  </si>
  <si>
    <t>Health services managers</t>
  </si>
  <si>
    <t>1232</t>
  </si>
  <si>
    <t>Residential, day and domiciliary care managers and proprietors</t>
  </si>
  <si>
    <t>1233</t>
  </si>
  <si>
    <t>Early education and childcare services proprietors</t>
  </si>
  <si>
    <t>1241</t>
  </si>
  <si>
    <t>Managers in transport and distribution</t>
  </si>
  <si>
    <t>1242</t>
  </si>
  <si>
    <t>Managers in storage and warehousing</t>
  </si>
  <si>
    <t>1243</t>
  </si>
  <si>
    <t>Managers in logistics</t>
  </si>
  <si>
    <t>1251</t>
  </si>
  <si>
    <t>Property, housing and estate managers</t>
  </si>
  <si>
    <t>1252</t>
  </si>
  <si>
    <t>Garage managers and proprietors</t>
  </si>
  <si>
    <t>1253</t>
  </si>
  <si>
    <t>Hairdressing and beauty salon managers and proprietors</t>
  </si>
  <si>
    <t>1254</t>
  </si>
  <si>
    <t>Shopkeepers and owners – retail and wholesale</t>
  </si>
  <si>
    <t>1255</t>
  </si>
  <si>
    <t>Managers and directors in the creative industries</t>
  </si>
  <si>
    <t>1256</t>
  </si>
  <si>
    <t>Betting shop and gambling establishment managers</t>
  </si>
  <si>
    <t>1257</t>
  </si>
  <si>
    <t>Hire services managers and proprietors</t>
  </si>
  <si>
    <t>1258</t>
  </si>
  <si>
    <t>Directors in consultancy services</t>
  </si>
  <si>
    <t>1259</t>
  </si>
  <si>
    <t>Managers and proprietors in other services n.e.c.</t>
  </si>
  <si>
    <t>2111</t>
  </si>
  <si>
    <t>Chemical scientists</t>
  </si>
  <si>
    <t>Science, Research, Engineering &amp; Technology Professionals</t>
  </si>
  <si>
    <t>2112</t>
  </si>
  <si>
    <t>Biological scientists</t>
  </si>
  <si>
    <t>2113</t>
  </si>
  <si>
    <t>Biochemists and biomedical scientists</t>
  </si>
  <si>
    <t>2114</t>
  </si>
  <si>
    <t>Physical scientists</t>
  </si>
  <si>
    <t>2115</t>
  </si>
  <si>
    <t>Social and humanities scientists</t>
  </si>
  <si>
    <t>2119</t>
  </si>
  <si>
    <t>Natural and social science professionals n.e.c.</t>
  </si>
  <si>
    <t>2121</t>
  </si>
  <si>
    <t>Civil engineers</t>
  </si>
  <si>
    <t>2122</t>
  </si>
  <si>
    <t>Mechanical engineers</t>
  </si>
  <si>
    <t>2123</t>
  </si>
  <si>
    <t>Electrical engineers</t>
  </si>
  <si>
    <t>2124</t>
  </si>
  <si>
    <t>Electronics engineers</t>
  </si>
  <si>
    <t>2125</t>
  </si>
  <si>
    <t>Chemical engineers</t>
  </si>
  <si>
    <t>2126</t>
  </si>
  <si>
    <t>Aerospace engineers</t>
  </si>
  <si>
    <t>2127</t>
  </si>
  <si>
    <t>Engineering project managers and project engineers</t>
  </si>
  <si>
    <t>2129</t>
  </si>
  <si>
    <t>Engineering professionals n.e.c.</t>
  </si>
  <si>
    <t>2131</t>
  </si>
  <si>
    <t>IT project managers</t>
  </si>
  <si>
    <t>2132</t>
  </si>
  <si>
    <t>IT managers</t>
  </si>
  <si>
    <t>2133</t>
  </si>
  <si>
    <t>IT business analysts, architects and systems designers</t>
  </si>
  <si>
    <t>2134</t>
  </si>
  <si>
    <t>Programmers and software development professionals</t>
  </si>
  <si>
    <t>2135</t>
  </si>
  <si>
    <t>Cyber security professionals</t>
  </si>
  <si>
    <t>2136</t>
  </si>
  <si>
    <t>IT quality and testing professionals</t>
  </si>
  <si>
    <t>2137</t>
  </si>
  <si>
    <t>IT network professionals</t>
  </si>
  <si>
    <t>2139</t>
  </si>
  <si>
    <t>Information technology professionals n.e.c.</t>
  </si>
  <si>
    <t>2141</t>
  </si>
  <si>
    <t>Web design and development professionals</t>
  </si>
  <si>
    <t>2142</t>
  </si>
  <si>
    <t>Graphic and multimedia designers</t>
  </si>
  <si>
    <t>2151</t>
  </si>
  <si>
    <t>Conservation professionals</t>
  </si>
  <si>
    <t>2152</t>
  </si>
  <si>
    <t>Environment professionals</t>
  </si>
  <si>
    <t>2161</t>
  </si>
  <si>
    <t>Actuaries, economists and statisticians</t>
  </si>
  <si>
    <t>2162</t>
  </si>
  <si>
    <t>Other researchers, unspecified discipline</t>
  </si>
  <si>
    <t>2211</t>
  </si>
  <si>
    <t>Generalist medical practitioners</t>
  </si>
  <si>
    <t>Health Professionals</t>
  </si>
  <si>
    <t>2212</t>
  </si>
  <si>
    <t>Specialist medical practitioners</t>
  </si>
  <si>
    <t>2213</t>
  </si>
  <si>
    <t>Dental practitioners</t>
  </si>
  <si>
    <t>2221</t>
  </si>
  <si>
    <t>Physiotherapists</t>
  </si>
  <si>
    <t>2222</t>
  </si>
  <si>
    <t>Occupational therapists</t>
  </si>
  <si>
    <t>2223</t>
  </si>
  <si>
    <t>Speech and language therapists</t>
  </si>
  <si>
    <t>2224</t>
  </si>
  <si>
    <t>Psychotherapists and cognitive behaviour therapists</t>
  </si>
  <si>
    <t>2225</t>
  </si>
  <si>
    <t>Clinical psychologists</t>
  </si>
  <si>
    <t>2226</t>
  </si>
  <si>
    <t>Other psychologists</t>
  </si>
  <si>
    <t>2229</t>
  </si>
  <si>
    <t>Therapy professionals n.e.c.</t>
  </si>
  <si>
    <t>2231</t>
  </si>
  <si>
    <t>Midwives</t>
  </si>
  <si>
    <t>2232</t>
  </si>
  <si>
    <t>Registered community nurses</t>
  </si>
  <si>
    <t>2233</t>
  </si>
  <si>
    <t>Registered specialist nurses</t>
  </si>
  <si>
    <t>2234</t>
  </si>
  <si>
    <t>Registered nurse practitioners</t>
  </si>
  <si>
    <t>2235</t>
  </si>
  <si>
    <t>Registered mental health nurses</t>
  </si>
  <si>
    <t>2236</t>
  </si>
  <si>
    <t>Registered children's nurses</t>
  </si>
  <si>
    <t>2237</t>
  </si>
  <si>
    <t>Other registered nursing professionals</t>
  </si>
  <si>
    <t>2241</t>
  </si>
  <si>
    <t>Veterinarians</t>
  </si>
  <si>
    <t>2242</t>
  </si>
  <si>
    <t>Pharmacists</t>
  </si>
  <si>
    <t>2243</t>
  </si>
  <si>
    <t>Ophthalmic opticians</t>
  </si>
  <si>
    <t>2251</t>
  </si>
  <si>
    <t>Radiographers</t>
  </si>
  <si>
    <t>2252</t>
  </si>
  <si>
    <t>Podiatrists</t>
  </si>
  <si>
    <t>2253</t>
  </si>
  <si>
    <t>Health promotion officers</t>
  </si>
  <si>
    <t>2254</t>
  </si>
  <si>
    <t>Dietitians</t>
  </si>
  <si>
    <t>2255</t>
  </si>
  <si>
    <t>Paramedics</t>
  </si>
  <si>
    <t>2259</t>
  </si>
  <si>
    <t>Other health professionals n.e.c.</t>
  </si>
  <si>
    <t>2311</t>
  </si>
  <si>
    <t>Higher education teaching professionals</t>
  </si>
  <si>
    <t>Teaching &amp; Educational Professionals</t>
  </si>
  <si>
    <t>2312</t>
  </si>
  <si>
    <t>Further education teaching professionals</t>
  </si>
  <si>
    <t>2313</t>
  </si>
  <si>
    <t>Secondary education teaching professionals</t>
  </si>
  <si>
    <t>2314</t>
  </si>
  <si>
    <t>Primary education teaching professionals</t>
  </si>
  <si>
    <t>2315</t>
  </si>
  <si>
    <t>Nursery education teaching professionals</t>
  </si>
  <si>
    <t>2316</t>
  </si>
  <si>
    <t>Special needs education teaching professionals</t>
  </si>
  <si>
    <t>2317</t>
  </si>
  <si>
    <t>Teachers of English as a foreign language</t>
  </si>
  <si>
    <t>2319</t>
  </si>
  <si>
    <t>Teaching professionals n.e.c.</t>
  </si>
  <si>
    <t>2321</t>
  </si>
  <si>
    <t>Head teachers and principals</t>
  </si>
  <si>
    <t>2322</t>
  </si>
  <si>
    <t>Education managers</t>
  </si>
  <si>
    <t>2329</t>
  </si>
  <si>
    <t>Other educational professionals n.e.c.</t>
  </si>
  <si>
    <t>2411</t>
  </si>
  <si>
    <t>Barristers and judges</t>
  </si>
  <si>
    <t>Business, Media &amp; Public Service Professionals</t>
  </si>
  <si>
    <t>2412</t>
  </si>
  <si>
    <t>Solicitors</t>
  </si>
  <si>
    <t>2419</t>
  </si>
  <si>
    <t>Legal professionals n.e.c.</t>
  </si>
  <si>
    <t>2421</t>
  </si>
  <si>
    <t>Chartered and certified accountants</t>
  </si>
  <si>
    <t>2422</t>
  </si>
  <si>
    <t>Finance and investment analysts and advisers</t>
  </si>
  <si>
    <t>2423</t>
  </si>
  <si>
    <t>Taxation experts</t>
  </si>
  <si>
    <t>2424</t>
  </si>
  <si>
    <t>Management consultants and business analysts</t>
  </si>
  <si>
    <t>2425</t>
  </si>
  <si>
    <t>Business and financial project management professionals</t>
  </si>
  <si>
    <t>2431</t>
  </si>
  <si>
    <t>Advertising and marketing professionals</t>
  </si>
  <si>
    <t>2432</t>
  </si>
  <si>
    <t>Marketing and commercial managers</t>
  </si>
  <si>
    <t>2433</t>
  </si>
  <si>
    <t>Public relations professionals</t>
  </si>
  <si>
    <t>2434</t>
  </si>
  <si>
    <t>Business and related research professionals</t>
  </si>
  <si>
    <t>2435</t>
  </si>
  <si>
    <t>Professional/Chartered company secretaries</t>
  </si>
  <si>
    <t>2439</t>
  </si>
  <si>
    <t>Business, research and administrative professionals n.e.c.</t>
  </si>
  <si>
    <t>2440</t>
  </si>
  <si>
    <t>2451</t>
  </si>
  <si>
    <t>Architects</t>
  </si>
  <si>
    <t>2452</t>
  </si>
  <si>
    <t>Chartered architectural technologists, planning officers and consultants</t>
  </si>
  <si>
    <t>2453</t>
  </si>
  <si>
    <t>Quantity surveyors</t>
  </si>
  <si>
    <t>2454</t>
  </si>
  <si>
    <t>Chartered surveyors</t>
  </si>
  <si>
    <t>2461</t>
  </si>
  <si>
    <t>Social workers</t>
  </si>
  <si>
    <t>2462</t>
  </si>
  <si>
    <t>Probation officers</t>
  </si>
  <si>
    <t>2463</t>
  </si>
  <si>
    <t>Clergy</t>
  </si>
  <si>
    <t>2464</t>
  </si>
  <si>
    <t>Youth work professionals</t>
  </si>
  <si>
    <t>2469</t>
  </si>
  <si>
    <t>Welfare professionals n.e.c.</t>
  </si>
  <si>
    <t>2471</t>
  </si>
  <si>
    <t>Librarians</t>
  </si>
  <si>
    <t>2472</t>
  </si>
  <si>
    <t>Archivists and curators</t>
  </si>
  <si>
    <t>2481</t>
  </si>
  <si>
    <t>Quality control and planning engineers</t>
  </si>
  <si>
    <t>2482</t>
  </si>
  <si>
    <t>Environmental health professionals</t>
  </si>
  <si>
    <t>2483</t>
  </si>
  <si>
    <t>Regulatory professionals</t>
  </si>
  <si>
    <t>2491</t>
  </si>
  <si>
    <t>Newspaper, periodical and broadcast editors</t>
  </si>
  <si>
    <t>2492</t>
  </si>
  <si>
    <t>Newspaper and periodical journalists and reporters</t>
  </si>
  <si>
    <t>3111</t>
  </si>
  <si>
    <t>Laboratory technicians</t>
  </si>
  <si>
    <t>Science, Engineering &amp; Technology Associate Professionals</t>
  </si>
  <si>
    <t>3112</t>
  </si>
  <si>
    <t>Electrical and electronics technicians</t>
  </si>
  <si>
    <t>3113</t>
  </si>
  <si>
    <t>Engineering technicians</t>
  </si>
  <si>
    <t>3114</t>
  </si>
  <si>
    <t>Building and civil engineering technicians</t>
  </si>
  <si>
    <t>3115</t>
  </si>
  <si>
    <t>Quality assurance technicians</t>
  </si>
  <si>
    <t>3116</t>
  </si>
  <si>
    <t>Planning, process and production technicians</t>
  </si>
  <si>
    <t>3119</t>
  </si>
  <si>
    <t>Science, engineering and production technicians n.e.c.</t>
  </si>
  <si>
    <t>3121</t>
  </si>
  <si>
    <t>Architectural and town planning technicians</t>
  </si>
  <si>
    <t>3122</t>
  </si>
  <si>
    <t>Draughtspersons</t>
  </si>
  <si>
    <t>3131</t>
  </si>
  <si>
    <t>IT operations technicians</t>
  </si>
  <si>
    <t>3132</t>
  </si>
  <si>
    <t>IT user support technicians</t>
  </si>
  <si>
    <t>3133</t>
  </si>
  <si>
    <t>Database administrators and web content technicians</t>
  </si>
  <si>
    <t>3211</t>
  </si>
  <si>
    <t>Dispensing opticians</t>
  </si>
  <si>
    <t>Health &amp; Social Care Associate Professionals</t>
  </si>
  <si>
    <t>3212</t>
  </si>
  <si>
    <t>Pharmaceutical technicians</t>
  </si>
  <si>
    <t>3213</t>
  </si>
  <si>
    <t>Medical and dental technicians</t>
  </si>
  <si>
    <t>3214</t>
  </si>
  <si>
    <t>Complementary health associate professionals</t>
  </si>
  <si>
    <t>3219</t>
  </si>
  <si>
    <t>Health associate professionals n.e.c.</t>
  </si>
  <si>
    <t>3221</t>
  </si>
  <si>
    <t>Youth and community workers</t>
  </si>
  <si>
    <t>3222</t>
  </si>
  <si>
    <t>Child and early years officers</t>
  </si>
  <si>
    <t>3223</t>
  </si>
  <si>
    <t>Housing officers</t>
  </si>
  <si>
    <t>3224</t>
  </si>
  <si>
    <t>Counsellors</t>
  </si>
  <si>
    <t>3229</t>
  </si>
  <si>
    <t>Welfare and housing associate professionals n.e.c.</t>
  </si>
  <si>
    <t>3231</t>
  </si>
  <si>
    <t>Higher level teaching assistants</t>
  </si>
  <si>
    <t>3232</t>
  </si>
  <si>
    <t>Early education and childcare practitioners</t>
  </si>
  <si>
    <t>3240</t>
  </si>
  <si>
    <t>Veterinary nurses</t>
  </si>
  <si>
    <t>3311</t>
  </si>
  <si>
    <t>NCOs and other ranks</t>
  </si>
  <si>
    <t>Protective Service Occupations</t>
  </si>
  <si>
    <t>3312</t>
  </si>
  <si>
    <t>Police officers (sergeant and below)</t>
  </si>
  <si>
    <t>3313</t>
  </si>
  <si>
    <t>Fire service officers (watch manager and below)</t>
  </si>
  <si>
    <t>3314</t>
  </si>
  <si>
    <t>Prison service officers (below principal officer)</t>
  </si>
  <si>
    <t>3319</t>
  </si>
  <si>
    <t>Protective service associate professionals n.e.c.</t>
  </si>
  <si>
    <t>3411</t>
  </si>
  <si>
    <t>Artists</t>
  </si>
  <si>
    <t>Culture, Media &amp; Sports Occupations</t>
  </si>
  <si>
    <t>3412</t>
  </si>
  <si>
    <t>Authors, writers and translators</t>
  </si>
  <si>
    <t>3413</t>
  </si>
  <si>
    <t>Actors, entertainers and presenters</t>
  </si>
  <si>
    <t>3414</t>
  </si>
  <si>
    <t>Dancers and choreographers</t>
  </si>
  <si>
    <t>3415</t>
  </si>
  <si>
    <t>Musicians</t>
  </si>
  <si>
    <t>3416</t>
  </si>
  <si>
    <t>Arts officers, producers and directors</t>
  </si>
  <si>
    <t>3417</t>
  </si>
  <si>
    <t>Photographers, audio-visual and broadcasting equipment operators</t>
  </si>
  <si>
    <t>3421</t>
  </si>
  <si>
    <t>Interior designers</t>
  </si>
  <si>
    <t>3422</t>
  </si>
  <si>
    <t>Clothing, fashion and accessories designers</t>
  </si>
  <si>
    <t>3429</t>
  </si>
  <si>
    <t>Design occupations n.e.c.</t>
  </si>
  <si>
    <t>3431</t>
  </si>
  <si>
    <t>Sports players</t>
  </si>
  <si>
    <t>3432</t>
  </si>
  <si>
    <t>Sports coaches, instructors and officials</t>
  </si>
  <si>
    <t>3433</t>
  </si>
  <si>
    <t>Fitness instructors</t>
  </si>
  <si>
    <t>3434</t>
  </si>
  <si>
    <t>Sports and leisure assistants</t>
  </si>
  <si>
    <t>3511</t>
  </si>
  <si>
    <t>Aircraft pilots and air traffic controllers</t>
  </si>
  <si>
    <t>Business &amp; Public Service Associate Professionals</t>
  </si>
  <si>
    <t>3512</t>
  </si>
  <si>
    <t>Ship and hovercraft officers</t>
  </si>
  <si>
    <t>3513</t>
  </si>
  <si>
    <t>Train and tram drivers</t>
  </si>
  <si>
    <t>3520</t>
  </si>
  <si>
    <t>Legal associate professionals</t>
  </si>
  <si>
    <t>3531</t>
  </si>
  <si>
    <t>Estimators, valuers and assessors</t>
  </si>
  <si>
    <t>3532</t>
  </si>
  <si>
    <t>Brokers</t>
  </si>
  <si>
    <t>3533</t>
  </si>
  <si>
    <t>Insurance underwriters</t>
  </si>
  <si>
    <t>3534</t>
  </si>
  <si>
    <t>Financial administrators</t>
  </si>
  <si>
    <t>3535</t>
  </si>
  <si>
    <t>Taxation experts (associate professional)</t>
  </si>
  <si>
    <t>3536</t>
  </si>
  <si>
    <t>Importers and exporters</t>
  </si>
  <si>
    <t>3537</t>
  </si>
  <si>
    <t>Financial and accounting technicians</t>
  </si>
  <si>
    <t>3539</t>
  </si>
  <si>
    <t>Business, finance and related associate professionals n.e.c.</t>
  </si>
  <si>
    <t>3541</t>
  </si>
  <si>
    <t>Buyers and procurement officers</t>
  </si>
  <si>
    <t>3542</t>
  </si>
  <si>
    <t>Business sales executives</t>
  </si>
  <si>
    <t>3543</t>
  </si>
  <si>
    <t>Project support officers</t>
  </si>
  <si>
    <t>3544</t>
  </si>
  <si>
    <t>Data analysts</t>
  </si>
  <si>
    <t>3545</t>
  </si>
  <si>
    <t>Marketing and communications officers</t>
  </si>
  <si>
    <t>3546</t>
  </si>
  <si>
    <t>Human resources officers</t>
  </si>
  <si>
    <t>3547</t>
  </si>
  <si>
    <t>Careers advisers and vocational guidance specialists</t>
  </si>
  <si>
    <t>3549</t>
  </si>
  <si>
    <t>Business associate professionals n.e.c.</t>
  </si>
  <si>
    <t>3551</t>
  </si>
  <si>
    <t>Conservation and environmental associate professionals</t>
  </si>
  <si>
    <t>3552</t>
  </si>
  <si>
    <t>Estate agents and auctioneers</t>
  </si>
  <si>
    <t>3553</t>
  </si>
  <si>
    <t>Merchandisers</t>
  </si>
  <si>
    <t>3555</t>
  </si>
  <si>
    <t>Conservation and environmental associate professionals (additional)</t>
  </si>
  <si>
    <t>3556</t>
  </si>
  <si>
    <t>Sales accounts and business development managers</t>
  </si>
  <si>
    <t>3561</t>
  </si>
  <si>
    <t>Public services associate professionals</t>
  </si>
  <si>
    <t>3562</t>
  </si>
  <si>
    <t>Human resources and industrial relations officers</t>
  </si>
  <si>
    <t>3563</t>
  </si>
  <si>
    <t>Vocational and industrial trainers and instructors</t>
  </si>
  <si>
    <t>3564</t>
  </si>
  <si>
    <t>Careers advisers and vocational guidance specialists (duplicate)</t>
  </si>
  <si>
    <t>3565</t>
  </si>
  <si>
    <t>Inspectors of standards and regulations</t>
  </si>
  <si>
    <t>3567</t>
  </si>
  <si>
    <t>Health and safety officers</t>
  </si>
  <si>
    <t>3571</t>
  </si>
  <si>
    <t>3572</t>
  </si>
  <si>
    <t>Driving instructors</t>
  </si>
  <si>
    <t>3573</t>
  </si>
  <si>
    <t>Information technology trainers</t>
  </si>
  <si>
    <t>4111</t>
  </si>
  <si>
    <t>Civil service executive officers</t>
  </si>
  <si>
    <t>Administrative Occupations</t>
  </si>
  <si>
    <t>4112</t>
  </si>
  <si>
    <t>Civil service administrative officers and assistants</t>
  </si>
  <si>
    <t>4113</t>
  </si>
  <si>
    <t>Local government administrative occupations</t>
  </si>
  <si>
    <t>4114</t>
  </si>
  <si>
    <t>Officers of non-governmental organisations</t>
  </si>
  <si>
    <t>4121</t>
  </si>
  <si>
    <t>Credit controllers</t>
  </si>
  <si>
    <t>4122</t>
  </si>
  <si>
    <t>Book-keepers, payroll managers and wages clerks</t>
  </si>
  <si>
    <t>4123</t>
  </si>
  <si>
    <t>Bank and post office clerks</t>
  </si>
  <si>
    <t>4124</t>
  </si>
  <si>
    <t>Finance administrators</t>
  </si>
  <si>
    <t>4129</t>
  </si>
  <si>
    <t>Financial administrative occupations n.e.c.</t>
  </si>
  <si>
    <t>4131</t>
  </si>
  <si>
    <t>Records clerks and assistants</t>
  </si>
  <si>
    <t>4132</t>
  </si>
  <si>
    <t>Pensions and insurance clerks and assistants</t>
  </si>
  <si>
    <t>4133</t>
  </si>
  <si>
    <t>Stock control clerks and assistants</t>
  </si>
  <si>
    <t>4134</t>
  </si>
  <si>
    <t>Transport and distribution clerks and assistants</t>
  </si>
  <si>
    <t>4135</t>
  </si>
  <si>
    <t>Library clerks and assistants</t>
  </si>
  <si>
    <t>4141</t>
  </si>
  <si>
    <t>Office managers</t>
  </si>
  <si>
    <t>4142</t>
  </si>
  <si>
    <t>Office supervisors</t>
  </si>
  <si>
    <t>4143</t>
  </si>
  <si>
    <t>Customer service managers</t>
  </si>
  <si>
    <t>4151</t>
  </si>
  <si>
    <t>Sales administrators</t>
  </si>
  <si>
    <t>4152</t>
  </si>
  <si>
    <t>Data entry administrators</t>
  </si>
  <si>
    <t>4159</t>
  </si>
  <si>
    <t>Other administrative occupations n.e.c.</t>
  </si>
  <si>
    <t>4211</t>
  </si>
  <si>
    <t>Medical secretaries</t>
  </si>
  <si>
    <t>Secretarial &amp; Related Occupations</t>
  </si>
  <si>
    <t>4212</t>
  </si>
  <si>
    <t>Legal secretaries</t>
  </si>
  <si>
    <t>4213</t>
  </si>
  <si>
    <t>School secretaries</t>
  </si>
  <si>
    <t>4214</t>
  </si>
  <si>
    <t>Company secretaries and administrators</t>
  </si>
  <si>
    <t>4215</t>
  </si>
  <si>
    <t>Personal assistants and other secretaries</t>
  </si>
  <si>
    <t>4216</t>
  </si>
  <si>
    <t>Receptionists</t>
  </si>
  <si>
    <t>4217</t>
  </si>
  <si>
    <t>Typists and related keyboard occupations</t>
  </si>
  <si>
    <t>5111</t>
  </si>
  <si>
    <t>Farmers</t>
  </si>
  <si>
    <t>Skilled Agricultural &amp; Related Trades</t>
  </si>
  <si>
    <t>5112</t>
  </si>
  <si>
    <t>Horticultural trades</t>
  </si>
  <si>
    <t>5113</t>
  </si>
  <si>
    <t>Gardeners and landscape gardeners</t>
  </si>
  <si>
    <t>5114</t>
  </si>
  <si>
    <t>Groundsmen and greenkeepers</t>
  </si>
  <si>
    <t>5119</t>
  </si>
  <si>
    <t>Agricultural and fishing trades n.e.c.</t>
  </si>
  <si>
    <t>5211</t>
  </si>
  <si>
    <t>Metal forming, welding and related trades</t>
  </si>
  <si>
    <t>Skilled Metal, Electrical &amp; Electronic Trades</t>
  </si>
  <si>
    <t>5212</t>
  </si>
  <si>
    <t>Metal plate workers, smiths, moulders and related</t>
  </si>
  <si>
    <t>5213</t>
  </si>
  <si>
    <t>Metal machining, fitting and instrument making trades</t>
  </si>
  <si>
    <t>5214</t>
  </si>
  <si>
    <t>Precision instrument makers and repairers</t>
  </si>
  <si>
    <t>5215</t>
  </si>
  <si>
    <t>Air-conditioning and refrigeration engineers</t>
  </si>
  <si>
    <t>5221</t>
  </si>
  <si>
    <t>Vehicle and vehicle parts technicians and fitters</t>
  </si>
  <si>
    <t>5222</t>
  </si>
  <si>
    <t>Vehicle body builders and repairers</t>
  </si>
  <si>
    <t>5223</t>
  </si>
  <si>
    <t>Vehicle paint technicians</t>
  </si>
  <si>
    <t>5224</t>
  </si>
  <si>
    <t>Aircraft maintenance and related trades</t>
  </si>
  <si>
    <t>5225</t>
  </si>
  <si>
    <t>Boat and ship builders and repairers</t>
  </si>
  <si>
    <t>5231</t>
  </si>
  <si>
    <t>Electricians and electrical fitters</t>
  </si>
  <si>
    <t>5232</t>
  </si>
  <si>
    <t>Telecommunications engineers</t>
  </si>
  <si>
    <t>5233</t>
  </si>
  <si>
    <t>TV, video and audio engineers</t>
  </si>
  <si>
    <t>5234</t>
  </si>
  <si>
    <t>IT engineers</t>
  </si>
  <si>
    <t>5241</t>
  </si>
  <si>
    <t>Electricians and electrical fitters (installation)</t>
  </si>
  <si>
    <t>5242</t>
  </si>
  <si>
    <t>Telecoms and related string and cable occupations</t>
  </si>
  <si>
    <t>5245</t>
  </si>
  <si>
    <t>Security system installers and repairers</t>
  </si>
  <si>
    <t>5246</t>
  </si>
  <si>
    <t>Electrical service and maintenance mechanics and repairers</t>
  </si>
  <si>
    <t>5249</t>
  </si>
  <si>
    <t>Electrical and electronic trades n.e.c.</t>
  </si>
  <si>
    <t>5250</t>
  </si>
  <si>
    <t>Skilled metal, electrical and electronic trades supervisors</t>
  </si>
  <si>
    <t>5311</t>
  </si>
  <si>
    <t>Steel erectors</t>
  </si>
  <si>
    <t>Skilled Construction &amp; Building Trades</t>
  </si>
  <si>
    <t>5312</t>
  </si>
  <si>
    <t>Stonemasons and related trades</t>
  </si>
  <si>
    <t>5313</t>
  </si>
  <si>
    <t>Bricklayers</t>
  </si>
  <si>
    <t>5314</t>
  </si>
  <si>
    <t>Roofers, roof tilers and slaters</t>
  </si>
  <si>
    <t>5315</t>
  </si>
  <si>
    <t>Plumbers, heating and ventilating engineers</t>
  </si>
  <si>
    <t>5316</t>
  </si>
  <si>
    <t>Carpenters and joiners</t>
  </si>
  <si>
    <t>5317</t>
  </si>
  <si>
    <t>Glaziers, window fabricators and fitters</t>
  </si>
  <si>
    <t>5319</t>
  </si>
  <si>
    <t>Construction and building trades n.e.c.</t>
  </si>
  <si>
    <t>5321</t>
  </si>
  <si>
    <t>Plasterers</t>
  </si>
  <si>
    <t>5322</t>
  </si>
  <si>
    <t>Floorers and wall tilers</t>
  </si>
  <si>
    <t>5323</t>
  </si>
  <si>
    <t>Painters and decorators</t>
  </si>
  <si>
    <t>5330</t>
  </si>
  <si>
    <t>Construction and building trades supervisors</t>
  </si>
  <si>
    <t>5411</t>
  </si>
  <si>
    <t>Weavers and knitters</t>
  </si>
  <si>
    <t>Textiles, Printing &amp; Other Skilled Trades</t>
  </si>
  <si>
    <t>5412</t>
  </si>
  <si>
    <t>Upholsterers</t>
  </si>
  <si>
    <t>5413</t>
  </si>
  <si>
    <t>Footwear and leather trades</t>
  </si>
  <si>
    <t>5419</t>
  </si>
  <si>
    <t>Textiles, garments and related trades n.e.c.</t>
  </si>
  <si>
    <t>5421</t>
  </si>
  <si>
    <t>Pre-press technicians</t>
  </si>
  <si>
    <t>5422</t>
  </si>
  <si>
    <t>Printers</t>
  </si>
  <si>
    <t>5423</t>
  </si>
  <si>
    <t>Print finishing and binding workers</t>
  </si>
  <si>
    <t>5431</t>
  </si>
  <si>
    <t>Butchers</t>
  </si>
  <si>
    <t>5432</t>
  </si>
  <si>
    <t>Bakers and flour confectioners</t>
  </si>
  <si>
    <t>5433</t>
  </si>
  <si>
    <t>Fishmongers and poultry dressers</t>
  </si>
  <si>
    <t>5434</t>
  </si>
  <si>
    <t>Chefs</t>
  </si>
  <si>
    <t>5435</t>
  </si>
  <si>
    <t>Cooks</t>
  </si>
  <si>
    <t>5436</t>
  </si>
  <si>
    <t>Catering and bar managers</t>
  </si>
  <si>
    <t>5441</t>
  </si>
  <si>
    <t>Glass and ceramics makers, decorators and finishers</t>
  </si>
  <si>
    <t>5442</t>
  </si>
  <si>
    <t>Furniture makers and other craft woodworkers</t>
  </si>
  <si>
    <t>5443</t>
  </si>
  <si>
    <t>Florists</t>
  </si>
  <si>
    <t>5449</t>
  </si>
  <si>
    <t>Other skilled trades n.e.c.</t>
  </si>
  <si>
    <t>6111</t>
  </si>
  <si>
    <t>Early education and childcare assistants</t>
  </si>
  <si>
    <t>Caring Personal Service Occupations</t>
  </si>
  <si>
    <t>6112</t>
  </si>
  <si>
    <t>Teaching assistants</t>
  </si>
  <si>
    <t>6113</t>
  </si>
  <si>
    <t>Educational support assistants</t>
  </si>
  <si>
    <t>6114</t>
  </si>
  <si>
    <t>Childminders</t>
  </si>
  <si>
    <t>6115</t>
  </si>
  <si>
    <t>Playworkers</t>
  </si>
  <si>
    <t>6116</t>
  </si>
  <si>
    <t>Nannies and au pairs</t>
  </si>
  <si>
    <t>6121</t>
  </si>
  <si>
    <t>Nursing auxiliaries and assistants</t>
  </si>
  <si>
    <t>6122</t>
  </si>
  <si>
    <t>Ambulance staff (excluding paramedics)</t>
  </si>
  <si>
    <t>6123</t>
  </si>
  <si>
    <t>Dental nurses</t>
  </si>
  <si>
    <t>6124</t>
  </si>
  <si>
    <t>Healthcare assistants</t>
  </si>
  <si>
    <t>6131</t>
  </si>
  <si>
    <t>Care workers and home carers</t>
  </si>
  <si>
    <t>6132</t>
  </si>
  <si>
    <t>Senior care workers</t>
  </si>
  <si>
    <t>6139</t>
  </si>
  <si>
    <t>Caring personal services n.e.c.</t>
  </si>
  <si>
    <t>6141</t>
  </si>
  <si>
    <t>Animal care services occupations</t>
  </si>
  <si>
    <t>6142</t>
  </si>
  <si>
    <t>Pest control officers</t>
  </si>
  <si>
    <t>6211</t>
  </si>
  <si>
    <t>Hairdressers and barbers</t>
  </si>
  <si>
    <t>Leisure, Travel &amp; Related Personal Service Occupations</t>
  </si>
  <si>
    <t>6212</t>
  </si>
  <si>
    <t>Beauticians and related occupations</t>
  </si>
  <si>
    <t>6213</t>
  </si>
  <si>
    <t>Caretakers</t>
  </si>
  <si>
    <t>6214</t>
  </si>
  <si>
    <t>Housekeepers and related occupations</t>
  </si>
  <si>
    <t>6215</t>
  </si>
  <si>
    <t>Undertakers, mortuary and crematorium assistants</t>
  </si>
  <si>
    <t>6219</t>
  </si>
  <si>
    <t>Leisure and related personal service occupations n.e.c.</t>
  </si>
  <si>
    <t>6221</t>
  </si>
  <si>
    <t>Travel agents</t>
  </si>
  <si>
    <t>6222</t>
  </si>
  <si>
    <t>Travel guides</t>
  </si>
  <si>
    <t>6231</t>
  </si>
  <si>
    <t>Housekeepers and related occupations (duplicate)</t>
  </si>
  <si>
    <t>6240</t>
  </si>
  <si>
    <t>Cleaning and housekeeping managers and supervisors</t>
  </si>
  <si>
    <t>6250</t>
  </si>
  <si>
    <t>Bed and breakfast and guest house owners and proprietors</t>
  </si>
  <si>
    <t>6311</t>
  </si>
  <si>
    <t>Police community support officers</t>
  </si>
  <si>
    <t>Community &amp; Civil Enforcement Occupations</t>
  </si>
  <si>
    <t>6312</t>
  </si>
  <si>
    <t>Parking and civil enforcement occupations</t>
  </si>
  <si>
    <t>7111</t>
  </si>
  <si>
    <t>Sales and retail assistants</t>
  </si>
  <si>
    <t>Sales Occupations</t>
  </si>
  <si>
    <t>7112</t>
  </si>
  <si>
    <t>Retail cashiers and check-out operators</t>
  </si>
  <si>
    <t>7113</t>
  </si>
  <si>
    <t>Telephone salespersons</t>
  </si>
  <si>
    <t>7114</t>
  </si>
  <si>
    <t>Pharmacy and optical dispensing assistants</t>
  </si>
  <si>
    <t>7115</t>
  </si>
  <si>
    <t>Vehicle and parts salespersons and advisers</t>
  </si>
  <si>
    <t>7119</t>
  </si>
  <si>
    <t>Sales related occupations n.e.c.</t>
  </si>
  <si>
    <t>7121</t>
  </si>
  <si>
    <t>Collector salespersons and credit agents</t>
  </si>
  <si>
    <t>7122</t>
  </si>
  <si>
    <t>Debt, rent and other cash collectors</t>
  </si>
  <si>
    <t>7123</t>
  </si>
  <si>
    <t>Roundsmen/-women and van salespersons</t>
  </si>
  <si>
    <t>7124</t>
  </si>
  <si>
    <t>Market and street traders and assistants</t>
  </si>
  <si>
    <t>7125</t>
  </si>
  <si>
    <t>Visual merchandisers and related occupations</t>
  </si>
  <si>
    <t>7129</t>
  </si>
  <si>
    <t>Sales occupations n.e.c.</t>
  </si>
  <si>
    <t>7130</t>
  </si>
  <si>
    <t>7131</t>
  </si>
  <si>
    <t>Sales supervisors – retail and wholesale</t>
  </si>
  <si>
    <t>7132</t>
  </si>
  <si>
    <t>Sales supervisors</t>
  </si>
  <si>
    <t>7211</t>
  </si>
  <si>
    <t>Call and contact centre occupations</t>
  </si>
  <si>
    <t>Customer Service Occupations</t>
  </si>
  <si>
    <t>7212</t>
  </si>
  <si>
    <t>Customer service occupations n.e.c.</t>
  </si>
  <si>
    <t>7213</t>
  </si>
  <si>
    <t>Telephonists</t>
  </si>
  <si>
    <t>7214</t>
  </si>
  <si>
    <t>Communication operators</t>
  </si>
  <si>
    <t>7215</t>
  </si>
  <si>
    <t>Market research interviewers</t>
  </si>
  <si>
    <t>7220</t>
  </si>
  <si>
    <t>Customer service supervisors</t>
  </si>
  <si>
    <t>8111</t>
  </si>
  <si>
    <t>Food, drink and tobacco process operatives</t>
  </si>
  <si>
    <t>Process, Plant &amp; Machine Operatives</t>
  </si>
  <si>
    <t>8112</t>
  </si>
  <si>
    <t>Glass and ceramics process operatives</t>
  </si>
  <si>
    <t>8113</t>
  </si>
  <si>
    <t>Textile process operatives</t>
  </si>
  <si>
    <t>8114</t>
  </si>
  <si>
    <t>Chemical and related process operatives</t>
  </si>
  <si>
    <t>8115</t>
  </si>
  <si>
    <t>Metal making and treating process operatives</t>
  </si>
  <si>
    <t>8116</t>
  </si>
  <si>
    <t>Water and sewerage plant operatives</t>
  </si>
  <si>
    <t>8117</t>
  </si>
  <si>
    <t>Printing machine assistants</t>
  </si>
  <si>
    <t>8118</t>
  </si>
  <si>
    <t>Energy plant operatives</t>
  </si>
  <si>
    <t>8119</t>
  </si>
  <si>
    <t>Process operatives n.e.c.</t>
  </si>
  <si>
    <t>8121</t>
  </si>
  <si>
    <t>Paper and wood machine operatives</t>
  </si>
  <si>
    <t>8122</t>
  </si>
  <si>
    <t>Mining and quarry workers and related operatives</t>
  </si>
  <si>
    <t>8123</t>
  </si>
  <si>
    <t>Plant and machine operatives n.e.c.</t>
  </si>
  <si>
    <t>8124</t>
  </si>
  <si>
    <t>Metal working machine operatives</t>
  </si>
  <si>
    <t>8125</t>
  </si>
  <si>
    <t>Water and sewerage plant operatives (duplicate)</t>
  </si>
  <si>
    <t>8126</t>
  </si>
  <si>
    <t>Rubber process operatives</t>
  </si>
  <si>
    <t>8131</t>
  </si>
  <si>
    <t>Assemblers (electrical and electronic products)</t>
  </si>
  <si>
    <t>8132</t>
  </si>
  <si>
    <t>Assemblers (vehicles and metal goods)</t>
  </si>
  <si>
    <t>8133</t>
  </si>
  <si>
    <t>Routine inspectors and testers</t>
  </si>
  <si>
    <t>8134</t>
  </si>
  <si>
    <t>Weighers, graders and sorters</t>
  </si>
  <si>
    <t>8135</t>
  </si>
  <si>
    <t>Tyre, exhaust and windscreen fitters</t>
  </si>
  <si>
    <t>8139</t>
  </si>
  <si>
    <t>Assemblers and routine operatives n.e.c.</t>
  </si>
  <si>
    <t>8141</t>
  </si>
  <si>
    <t>Scaffolders, stagers and riggers</t>
  </si>
  <si>
    <t>8142</t>
  </si>
  <si>
    <t>Road construction operatives</t>
  </si>
  <si>
    <t>8143</t>
  </si>
  <si>
    <t>Rail construction and maintenance operatives</t>
  </si>
  <si>
    <t>8149</t>
  </si>
  <si>
    <t>Construction operatives n.e.c.</t>
  </si>
  <si>
    <t>8160</t>
  </si>
  <si>
    <t>Production, factory and assembly supervisors</t>
  </si>
  <si>
    <t>8211</t>
  </si>
  <si>
    <t>Large goods vehicle drivers</t>
  </si>
  <si>
    <t>Transport &amp; Mobile Machine Drivers &amp; Operatives</t>
  </si>
  <si>
    <t>8212</t>
  </si>
  <si>
    <t>Bus and coach drivers</t>
  </si>
  <si>
    <t>8213</t>
  </si>
  <si>
    <t>Taxi and cab drivers and chauffeurs</t>
  </si>
  <si>
    <t>8214</t>
  </si>
  <si>
    <t>Delivery drivers and couriers</t>
  </si>
  <si>
    <t>8219</t>
  </si>
  <si>
    <t>Road transport drivers n.e.c.</t>
  </si>
  <si>
    <t>8221</t>
  </si>
  <si>
    <t>Crane drivers</t>
  </si>
  <si>
    <t>8222</t>
  </si>
  <si>
    <t>Fork-lift truck drivers</t>
  </si>
  <si>
    <t>8229</t>
  </si>
  <si>
    <t>Mobile machine drivers and operatives n.e.c.</t>
  </si>
  <si>
    <t>9111</t>
  </si>
  <si>
    <t>Farm workers</t>
  </si>
  <si>
    <t>Elementary Trades &amp; Related Occupations</t>
  </si>
  <si>
    <t>9112</t>
  </si>
  <si>
    <t>Forestry workers</t>
  </si>
  <si>
    <t>9119</t>
  </si>
  <si>
    <t>Fishing and other elementary agriculture occupations n.e.c.</t>
  </si>
  <si>
    <t>9120</t>
  </si>
  <si>
    <t>Elementary construction occupations</t>
  </si>
  <si>
    <t>9121</t>
  </si>
  <si>
    <t>Groundworkers</t>
  </si>
  <si>
    <t>9131</t>
  </si>
  <si>
    <t>Industrial cleaning process occupations</t>
  </si>
  <si>
    <t>9132</t>
  </si>
  <si>
    <t>Packers, bottlers, canners and fillers</t>
  </si>
  <si>
    <t>9139</t>
  </si>
  <si>
    <t>Elementary process plant occupations n.e.c.</t>
  </si>
  <si>
    <t>9211</t>
  </si>
  <si>
    <t>Postal workers, mail sorters and messengers</t>
  </si>
  <si>
    <t>Elementary Administration &amp; Service Occupations</t>
  </si>
  <si>
    <t>9212</t>
  </si>
  <si>
    <t>Elementary administration occupations n.e.c.</t>
  </si>
  <si>
    <t>9221</t>
  </si>
  <si>
    <t>Hospital porters</t>
  </si>
  <si>
    <t>9222</t>
  </si>
  <si>
    <t>Hotel porters</t>
  </si>
  <si>
    <t>9223</t>
  </si>
  <si>
    <t>Kitchen and catering assistants</t>
  </si>
  <si>
    <t>9224</t>
  </si>
  <si>
    <t>Waiters and waitresses</t>
  </si>
  <si>
    <t>9225</t>
  </si>
  <si>
    <t>Bar staff</t>
  </si>
  <si>
    <t>9226</t>
  </si>
  <si>
    <t>Leisure and theme park attendants</t>
  </si>
  <si>
    <t>9229</t>
  </si>
  <si>
    <t>Elementary personal services occupations n.e.c.</t>
  </si>
  <si>
    <t>9231</t>
  </si>
  <si>
    <t>Window cleaners</t>
  </si>
  <si>
    <t>9232</t>
  </si>
  <si>
    <t>Cleaners and domestics</t>
  </si>
  <si>
    <t>9233</t>
  </si>
  <si>
    <t>Exam invigilators</t>
  </si>
  <si>
    <t>9234</t>
  </si>
  <si>
    <t>Launderers, dry cleaners and pressers</t>
  </si>
  <si>
    <t>9241</t>
  </si>
  <si>
    <t>Security guards and related occupations</t>
  </si>
  <si>
    <t>9242</t>
  </si>
  <si>
    <t>School midday and crossing patrol occupations</t>
  </si>
  <si>
    <t>9249</t>
  </si>
  <si>
    <t>Elementary security occupations n.e.c.</t>
  </si>
  <si>
    <t>9251</t>
  </si>
  <si>
    <t>Elementary storage supervisors</t>
  </si>
  <si>
    <t>9252</t>
  </si>
  <si>
    <t>Warehouse operatives</t>
  </si>
  <si>
    <t>9253</t>
  </si>
  <si>
    <t>Delivery operatives</t>
  </si>
  <si>
    <t>9259</t>
  </si>
  <si>
    <t>Elementary storage occupations n.e.c.</t>
  </si>
  <si>
    <t>9261</t>
  </si>
  <si>
    <t>Bar and catering supervisors</t>
  </si>
  <si>
    <t>9266</t>
  </si>
  <si>
    <t>Coffee shop workers</t>
  </si>
  <si>
    <t>9271</t>
  </si>
  <si>
    <t>Road sweepers</t>
  </si>
  <si>
    <t>9272</t>
  </si>
  <si>
    <t>Refuse and salvage occupations</t>
  </si>
  <si>
    <t>9279</t>
  </si>
  <si>
    <t>Elementary cleaning occupations n.e.c.</t>
  </si>
  <si>
    <t>Est. Employment</t>
  </si>
  <si>
    <t>Raw AI Exposure
(May 2026)</t>
  </si>
  <si>
    <t>Practical Impact
(May 2026)</t>
  </si>
  <si>
    <t>Hrs Freed / Worker / Week</t>
  </si>
  <si>
    <t>Annual Hrs Freed / Worker</t>
  </si>
  <si>
    <t>Total Weekly Hrs Freed (000s)</t>
  </si>
  <si>
    <t>FTE Equivalent Capacity</t>
  </si>
  <si>
    <t>TOTALS</t>
  </si>
  <si>
    <t>AWA AI IMPACT ASSESSMENT: ALL 412 UK OCCUPATIONS (SOC 2020)</t>
  </si>
  <si>
    <t>Task Decomposition Model — May 2026 Frontier Calibration</t>
  </si>
  <si>
    <t>KEY METRICS</t>
  </si>
  <si>
    <t>Total Occupations Assessed</t>
  </si>
  <si>
    <t>Total UK Employment (estimated)</t>
  </si>
  <si>
    <t>Adoption Discount Factor</t>
  </si>
  <si>
    <t>0.48–0.60 (sector-specific)</t>
  </si>
  <si>
    <t>Standard Working Week (hrs)</t>
  </si>
  <si>
    <t>AGGREGATE RESULTS</t>
  </si>
  <si>
    <t>Employment-Weighted Mean AI Exposure</t>
  </si>
  <si>
    <t>Employment-Weighted Mean Practical Impact</t>
  </si>
  <si>
    <t>Mean Hours Freed per Worker per Week</t>
  </si>
  <si>
    <t>Mean Hours Freed per Worker per Year (47 wks)</t>
  </si>
  <si>
    <t>Total Weekly Hours Freed (000s)</t>
  </si>
  <si>
    <t>Total FTE Equivalent Capacity Created</t>
  </si>
  <si>
    <t>Rank</t>
  </si>
  <si>
    <t>Raw AI Exposure</t>
  </si>
  <si>
    <t>Practical Impact %</t>
  </si>
  <si>
    <t>Hrs Freed/Worker/Week</t>
  </si>
  <si>
    <t>FTE Capacity Created</t>
  </si>
  <si>
    <t>Impact Band</t>
  </si>
  <si>
    <t>Group Name</t>
  </si>
  <si>
    <t>Occupations Count</t>
  </si>
  <si>
    <t>Est. Employment (000s)</t>
  </si>
  <si>
    <t>Mean Raw Exposure</t>
  </si>
  <si>
    <t>Mean Practical Impact</t>
  </si>
  <si>
    <t>Mean Hrs Freed/Worker/Week</t>
  </si>
  <si>
    <t>Total FTE Capacity Created</t>
  </si>
  <si>
    <t>Highest Impact Occupation</t>
  </si>
  <si>
    <t>Lowest Impact Occupation</t>
  </si>
  <si>
    <t>11</t>
  </si>
  <si>
    <t>12</t>
  </si>
  <si>
    <t>Managers and proprietors in agriculture and hortic</t>
  </si>
  <si>
    <t>21</t>
  </si>
  <si>
    <t>22</t>
  </si>
  <si>
    <t>23</t>
  </si>
  <si>
    <t>24</t>
  </si>
  <si>
    <t>31</t>
  </si>
  <si>
    <t>Database administrators and web content technician</t>
  </si>
  <si>
    <t>32</t>
  </si>
  <si>
    <t>33</t>
  </si>
  <si>
    <t>34</t>
  </si>
  <si>
    <t>35</t>
  </si>
  <si>
    <t>41</t>
  </si>
  <si>
    <t>42</t>
  </si>
  <si>
    <t>51</t>
  </si>
  <si>
    <t>52</t>
  </si>
  <si>
    <t>53</t>
  </si>
  <si>
    <t>54</t>
  </si>
  <si>
    <t>61</t>
  </si>
  <si>
    <t>62</t>
  </si>
  <si>
    <t>63</t>
  </si>
  <si>
    <t>71</t>
  </si>
  <si>
    <t>72</t>
  </si>
  <si>
    <t>81</t>
  </si>
  <si>
    <t>82</t>
  </si>
  <si>
    <t>91</t>
  </si>
  <si>
    <t>Fishing and other elementary agriculture occupatio</t>
  </si>
  <si>
    <t>92</t>
  </si>
  <si>
    <t>Four Capability Scenarios: GPT-4 Era → Claude 4.6 → May 2026 Frontier → 5yr Projected</t>
  </si>
  <si>
    <t>Task scores recalibrated at each point. May 2026 uses sector-specific adoption discounts. All scenarios include capability amplification.</t>
  </si>
  <si>
    <t>Task Score Comparison</t>
  </si>
  <si>
    <t>GPT-4 Era
(2023)</t>
  </si>
  <si>
    <t>Claude 4.6
(Feb 2026)</t>
  </si>
  <si>
    <t>May 2026
Frontier</t>
  </si>
  <si>
    <t>5yr Proj
(2031)</t>
  </si>
  <si>
    <t>Change
GPT4→May26</t>
  </si>
  <si>
    <t>Evidence for May 2026 revision</t>
  </si>
  <si>
    <t>Near ceiling. Marginal improvement.</t>
  </si>
  <si>
    <t>Marginal. Already very high.</t>
  </si>
  <si>
    <t>Code execution + agentic search now standard.</t>
  </si>
  <si>
    <t>Enterprise agents (OpenAI Frontier, Copilot) handling complex customer workflows.</t>
  </si>
  <si>
    <t>Agentic workflows now production-grade.</t>
  </si>
  <si>
    <t>Deep research + agentic search tools standard.</t>
  </si>
  <si>
    <t>Agent workflows for invoicing, payroll now deployed.</t>
  </si>
  <si>
    <t>Long-context + agent review of full regulatory documents; AWS Security Agent.</t>
  </si>
  <si>
    <t>Near-human quality email/Slack. Marginal.</t>
  </si>
  <si>
    <t>AWS Security Agent -90% testing time. Code review agents widespread.</t>
  </si>
  <si>
    <t>Kiro: 1M lines/month, 80% daily dev adoption at Motorway.</t>
  </si>
  <si>
    <t>Better reasoning but still lacks lived experience/accountability.</t>
  </si>
  <si>
    <t>Marginally better prep/strategy tools.</t>
  </si>
  <si>
    <t>Video gen at production quality: native 4K + audio. Veo 3.1, Sora 2.</t>
  </si>
  <si>
    <t>Marginally better coaching/feedback tools.</t>
  </si>
  <si>
    <t>Better monitoring/admin support around care.</t>
  </si>
  <si>
    <t>AR guidance improving but robotics still limited.</t>
  </si>
  <si>
    <t>Essentially no change.</t>
  </si>
  <si>
    <t>Headline Metrics</t>
  </si>
  <si>
    <t>Metric</t>
  </si>
  <si>
    <t>GPT-4 Era</t>
  </si>
  <si>
    <t>Claude 4.6</t>
  </si>
  <si>
    <t>May 2026</t>
  </si>
  <si>
    <t>5yr Projected</t>
  </si>
  <si>
    <t>Mean raw exposure</t>
  </si>
  <si>
    <t>Mean practical impact (substitution)</t>
  </si>
  <si>
    <t>Substitution hrs/worker/week</t>
  </si>
  <si>
    <t>Substitution FTE capacity (M)</t>
  </si>
  <si>
    <t>Combined hrs/worker/week (with amplification)</t>
  </si>
  <si>
    <t>Combined FTE capacity (M)</t>
  </si>
  <si>
    <t>Adoption Discounts</t>
  </si>
  <si>
    <t>GPT-4 era: 0.60 (flat) | Claude 4.6: 0.55 (flat) | 5yr: 0.45 (flat)</t>
  </si>
  <si>
    <t>May 2026: Sector-specific discounts (see below)</t>
  </si>
  <si>
    <t>Occupational Family</t>
  </si>
  <si>
    <t>Discount</t>
  </si>
  <si>
    <t>Rationale</t>
  </si>
  <si>
    <t>Fast adopters — enterprise agents deployed, high digital maturity</t>
  </si>
  <si>
    <t>Professional/knowledge work — strong tooling ecosystem, proven ROI</t>
  </si>
  <si>
    <t>Minimal adoption — physical work, little AI interface</t>
  </si>
  <si>
    <t>Slower adoption — manual work context, limited AI tooling</t>
  </si>
  <si>
    <t>Mixed adoption — partial deployment, regulatory caution</t>
  </si>
  <si>
    <t>Moderate adoption — some digital tools but slower integration</t>
  </si>
  <si>
    <t>May 2026 Frontier: Per-Occupation Analysis with Sector-Specific Discounts</t>
  </si>
  <si>
    <t>SOC</t>
  </si>
  <si>
    <t>Occupation</t>
  </si>
  <si>
    <t>SMG</t>
  </si>
  <si>
    <t>Emp</t>
  </si>
  <si>
    <t>Raw</t>
  </si>
  <si>
    <t>PI</t>
  </si>
  <si>
    <t>Sub hrs</t>
  </si>
  <si>
    <t>Mult</t>
  </si>
  <si>
    <t>Amp hrs</t>
  </si>
  <si>
    <t>Combined hrs</t>
  </si>
  <si>
    <t>Capability Amplification Framework</t>
  </si>
  <si>
    <t>Beyond task substitution: AI enables work that was previously economically unfeasible</t>
  </si>
  <si>
    <t>Capability Multiplier Definitions</t>
  </si>
  <si>
    <t>Multiplier</t>
  </si>
  <si>
    <t>Description</t>
  </si>
  <si>
    <t>Example</t>
  </si>
  <si>
    <t>Employment</t>
  </si>
  <si>
    <t>% Workforce</t>
  </si>
  <si>
    <t>Mean Sub PI</t>
  </si>
  <si>
    <t>Mean Combined PI</t>
  </si>
  <si>
    <t>2.5x</t>
  </si>
  <si>
    <t>Scientists, researchers, actuaries — AI enables experimentation at previously impossible scales</t>
  </si>
  <si>
    <t>2.0x</t>
  </si>
  <si>
    <t>Engineers, IT professionals, designers — AI enables broader prototyping, testing and analysis</t>
  </si>
  <si>
    <t>1.8x</t>
  </si>
  <si>
    <t>Directors, business professionals, HR — AI enables richer intelligence and deeper due diligence</t>
  </si>
  <si>
    <t>1.5x</t>
  </si>
  <si>
    <t>Teachers, health associates, other managers — AI enables expanded educational and clinical capabilities</t>
  </si>
  <si>
    <t>1.3x</t>
  </si>
  <si>
    <t>Sales, customer service, protective — AI enables better personalisation and faster resolution</t>
  </si>
  <si>
    <t>1.2x</t>
  </si>
  <si>
    <t>Admin, secretarial, leisure — AI enables marginally faster processing</t>
  </si>
  <si>
    <t>1.1x</t>
  </si>
  <si>
    <t>Skilled trades, caring roles — AI provides limited new capability</t>
  </si>
  <si>
    <t>1.0x</t>
  </si>
  <si>
    <t>Operatives, drivers, elementary — no material amplification from AI</t>
  </si>
  <si>
    <t>Key Assumptions</t>
  </si>
  <si>
    <t>Multipliers are applied to substitution hours (not total working hours)</t>
  </si>
  <si>
    <t>Combined value = Substitution hours × Multiplier</t>
  </si>
  <si>
    <t>Amplification represents NEW productive output AI enables, not just time saved</t>
  </si>
  <si>
    <t>Examples: research at scale, scenario testing, broader analysis, faster prototyping</t>
  </si>
  <si>
    <t>Multipliers assigned by Sub-Major Group (occupational family), adjustable per client</t>
  </si>
  <si>
    <t>Multiplier of 1.0 = pure substitution; 2.5 = each hour saved generates 2.5 hours of new capability</t>
  </si>
  <si>
    <t>Combined Impact: Task Substitution + Capability Amplification</t>
  </si>
  <si>
    <t>Headline Comparison</t>
  </si>
  <si>
    <t>Substitution Only</t>
  </si>
  <si>
    <t>Amplification Only</t>
  </si>
  <si>
    <t>Combined</t>
  </si>
  <si>
    <t>Amplification Uplift</t>
  </si>
  <si>
    <t>Mean practical impact</t>
  </si>
  <si>
    <t>Hours per worker/week</t>
  </si>
  <si>
    <t>FTE capacity (millions)</t>
  </si>
  <si>
    <t>Impact by Occupational Family</t>
  </si>
  <si>
    <t>Sub hrs/wk</t>
  </si>
  <si>
    <t>Amp hrs/wk</t>
  </si>
  <si>
    <t>Combined hrs/wk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</si>
</sst>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#,##0.0"/>
    <numFmt numFmtId="167" formatCode="0.000"/>
    <numFmt numFmtId="168" formatCode="\+0.00"/>
    <numFmt numFmtId="169" formatCode="\+0%"/>
  </numFmts>
  <fonts count="25">
    <font>
      <sz val="11"/>
      <color theme="1"/>
      <name val="Calibri"/>
      <family val="2"/>
      <charset val="1"/>
    </font>
    <font>
      <b/>
      <sz val="12"/>
      <color rgb="FF1F4E79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i/>
      <sz val="10"/>
      <color rgb="FF80808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color rgb="FF808080"/>
      <name val="Arial"/>
      <charset val="1"/>
    </font>
    <font>
      <b/>
      <sz val="14"/>
      <color rgb="FF1F4E79"/>
      <name val="Arial"/>
    </font>
    <font>
      <sz val="9"/>
      <color rgb="FF666666"/>
      <name val="Arial"/>
    </font>
    <font>
      <sz val="9"/>
      <color rgb="FF333333"/>
      <name val="Arial"/>
    </font>
    <font>
      <b/>
      <sz val="10"/>
      <color rgb="FF333333"/>
      <name val="Arial"/>
    </font>
    <font>
      <sz val="8"/>
      <color rgb="FF666666"/>
      <name val="Arial"/>
    </font>
    <font>
      <b/>
      <sz val="9"/>
      <color rgb="FFE63E30"/>
      <name val="Arial"/>
    </font>
    <font>
      <b/>
      <sz val="11"/>
      <color rgb="FF1F4E79"/>
      <name val="Arial"/>
    </font>
    <font>
      <b/>
      <sz val="9"/>
      <color rgb="FF333333"/>
      <name val="Arial"/>
    </font>
    <font>
      <i/>
      <sz val="8"/>
      <color rgb="FF666666"/>
      <name val="Arial"/>
    </font>
    <font>
      <b/>
      <sz val="9"/>
      <color rgb="FFFFFFFF"/>
      <name val="Arial"/>
    </font>
    <font>
      <b/>
      <sz val="9"/>
      <color rgb="FF1F4E79"/>
      <name val="Arial"/>
    </font>
    <font>
      <b/>
      <sz val="9"/>
      <color rgb="FF2E7D32"/>
      <name val="Arial"/>
    </font>
    <font>
      <b/>
      <sz val="13"/>
      <color rgb="FF1F4E79"/>
      <name val="Arial"/>
    </font>
    <font>
      <sz val="10"/>
      <color rgb="FF666666"/>
      <name val="Arial"/>
    </font>
    <font>
      <b/>
      <sz val="12"/>
      <color rgb="FF1F4E7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AEEF3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AEEF3"/>
      </patternFill>
    </fill>
    <fill>
      <patternFill patternType="solid">
        <fgColor rgb="FF1F4E79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3" fillId="0" borderId="1" xfId="0" applyFont="1" applyBorder="1"/>
    <xf numFmtId="2" fontId="8" fillId="3" borderId="1" xfId="0" applyNumberFormat="1" applyFont="1" applyFill="1" applyBorder="1"/>
    <xf numFmtId="0" fontId="7" fillId="4" borderId="1" xfId="0" applyFont="1" applyFill="1" applyBorder="1"/>
    <xf numFmtId="0" fontId="7" fillId="5" borderId="1" xfId="0" applyFont="1" applyFill="1" applyBorder="1"/>
    <xf numFmtId="0" fontId="7" fillId="6" borderId="1" xfId="0" applyFont="1" applyFill="1" applyBorder="1"/>
    <xf numFmtId="0" fontId="7" fillId="7" borderId="1" xfId="0" applyFont="1" applyFill="1" applyBorder="1"/>
    <xf numFmtId="0" fontId="7" fillId="0" borderId="0" xfId="0" applyFont="1"/>
    <xf numFmtId="164" fontId="8" fillId="3" borderId="0" xfId="0" applyNumberFormat="1" applyFont="1" applyFill="1"/>
    <xf numFmtId="165" fontId="8" fillId="3" borderId="0" xfId="0" applyNumberFormat="1" applyFont="1" applyFill="1"/>
    <xf numFmtId="0" fontId="9" fillId="0" borderId="0" xfId="0" applyFont="1"/>
    <xf numFmtId="2" fontId="0" fillId="0" borderId="0" xfId="0" applyNumberFormat="1"/>
    <xf numFmtId="1" fontId="8" fillId="3" borderId="1" xfId="0" applyNumberFormat="1" applyFont="1" applyFill="1" applyBorder="1"/>
    <xf numFmtId="1" fontId="7" fillId="0" borderId="0" xfId="0" applyNumberFormat="1" applyFont="1"/>
    <xf numFmtId="3" fontId="8" fillId="3" borderId="1" xfId="0" applyNumberFormat="1" applyFont="1" applyFill="1" applyBorder="1"/>
    <xf numFmtId="2" fontId="7" fillId="0" borderId="1" xfId="0" applyNumberFormat="1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3" fontId="7" fillId="0" borderId="1" xfId="0" applyNumberFormat="1" applyFont="1" applyBorder="1"/>
    <xf numFmtId="166" fontId="7" fillId="0" borderId="1" xfId="0" applyNumberFormat="1" applyFont="1" applyBorder="1"/>
    <xf numFmtId="3" fontId="4" fillId="0" borderId="1" xfId="0" applyNumberFormat="1" applyFont="1" applyBorder="1"/>
    <xf numFmtId="2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3" fontId="7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3" fontId="3" fillId="0" borderId="1" xfId="0" applyNumberFormat="1" applyFont="1" applyBorder="1"/>
    <xf numFmtId="164" fontId="7" fillId="5" borderId="1" xfId="0" applyNumberFormat="1" applyFont="1" applyFill="1" applyBorder="1"/>
    <xf numFmtId="164" fontId="7" fillId="4" borderId="1" xfId="0" applyNumberFormat="1" applyFont="1" applyFill="1" applyBorder="1"/>
    <xf numFmtId="164" fontId="7" fillId="6" borderId="1" xfId="0" applyNumberFormat="1" applyFont="1" applyFill="1" applyBorder="1"/>
    <xf numFmtId="164" fontId="7" fillId="7" borderId="1" xfId="0" applyNumberFormat="1" applyFont="1" applyFill="1" applyBorder="1"/>
    <xf numFmtId="3" fontId="1" fillId="0" borderId="1" xfId="0" applyNumberFormat="1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167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13" fillId="0" borderId="0" xfId="0" applyFont="1"/>
    <xf numFmtId="0" fontId="14" fillId="0" borderId="0" xfId="0" applyFont="1"/>
    <xf numFmtId="169" fontId="15" fillId="0" borderId="0" xfId="0" applyNumberFormat="1" applyFont="1"/>
    <xf numFmtId="165" fontId="0" fillId="0" borderId="0" xfId="0" applyNumberFormat="1"/>
    <xf numFmtId="3" fontId="0" fillId="0" borderId="0" xfId="0" applyNumberFormat="1"/>
    <xf numFmtId="0" fontId="17" fillId="0" borderId="0" xfId="0" applyFont="1"/>
    <xf numFmtId="0" fontId="15" fillId="0" borderId="0" xfId="0" applyFont="1"/>
    <xf numFmtId="0" fontId="19" fillId="8" borderId="0" xfId="0" applyFont="1" applyFill="1" applyAlignment="1">
      <alignment horizontal="center"/>
    </xf>
    <xf numFmtId="2" fontId="12" fillId="0" borderId="0" xfId="0" applyNumberFormat="1" applyFont="1" applyAlignment="1">
      <alignment horizontal="center"/>
    </xf>
    <xf numFmtId="0" fontId="17" fillId="9" borderId="0" xfId="0" applyFont="1" applyFill="1" applyAlignment="1">
      <alignment horizontal="center"/>
    </xf>
    <xf numFmtId="167" fontId="1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167" fontId="0" fillId="0" borderId="0" xfId="0" applyNumberFormat="1" applyAlignment="1">
      <alignment horizontal="center"/>
    </xf>
    <xf numFmtId="0" fontId="0" fillId="10" borderId="0" xfId="0" applyFill="1"/>
    <xf numFmtId="0" fontId="17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167" fontId="15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67" fontId="21" fillId="0" borderId="0" xfId="0" applyNumberFormat="1" applyFont="1" applyAlignment="1">
      <alignment horizontal="center"/>
    </xf>
    <xf numFmtId="0" fontId="19" fillId="8" borderId="0" xfId="0" applyFont="1" applyFill="1" applyAlignment="1">
      <alignment horizontal="center" wrapText="1"/>
    </xf>
    <xf numFmtId="0" fontId="15" fillId="0" borderId="0" xfId="0" applyFont="1" applyAlignment="1">
      <alignment horizontal="center"/>
    </xf>
    <xf numFmtId="3" fontId="12" fillId="0" borderId="0" xfId="0" applyNumberFormat="1" applyFont="1"/>
    <xf numFmtId="164" fontId="12" fillId="0" borderId="0" xfId="0" applyNumberFormat="1" applyFont="1"/>
    <xf numFmtId="164" fontId="15" fillId="0" borderId="0" xfId="0" applyNumberFormat="1" applyFont="1"/>
    <xf numFmtId="165" fontId="15" fillId="0" borderId="0" xfId="0" applyNumberFormat="1" applyFont="1"/>
    <xf numFmtId="168" fontId="15" fillId="0" borderId="0" xfId="0" applyNumberFormat="1" applyFont="1"/>
    <xf numFmtId="2" fontId="0" fillId="11" borderId="0" xfId="0" applyNumberFormat="1" applyFill="1"/>
    <xf numFmtId="164" fontId="0" fillId="11" borderId="0" xfId="0" applyNumberFormat="1" applyFill="1"/>
    <xf numFmtId="165" fontId="0" fillId="11" borderId="0" xfId="0" applyNumberFormat="1" applyFill="1"/>
    <xf numFmtId="2" fontId="0" fillId="0" borderId="0" xfId="0" applyNumberFormat="1" applyAlignment="1">
      <alignment horizontal="center"/>
    </xf>
    <xf numFmtId="0" fontId="23" fillId="0" borderId="0" xfId="0" applyFont="1"/>
    <xf numFmtId="0" fontId="24" fillId="0" borderId="0" xfId="0" applyFont="1"/>
    <xf numFmtId="0" fontId="10" fillId="0" borderId="0" xfId="0" applyFont="1" applyAlignment="1"/>
    <xf numFmtId="0" fontId="0" fillId="0" borderId="0" xfId="0" applyAlignment="1"/>
    <xf numFmtId="0" fontId="11" fillId="0" borderId="0" xfId="0" applyFont="1" applyAlignment="1"/>
    <xf numFmtId="0" fontId="16" fillId="0" borderId="0" xfId="0" applyFont="1" applyAlignment="1"/>
    <xf numFmtId="0" fontId="18" fillId="0" borderId="0" xfId="0" applyFont="1" applyAlignment="1"/>
    <xf numFmtId="0" fontId="23" fillId="0" borderId="0" xfId="0" applyFont="1" applyAlignment="1"/>
    <xf numFmtId="0" fontId="22" fillId="0" borderId="0" xfId="0" applyFont="1" applyAlignment="1"/>
    <xf numFmtId="0" fontId="1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2"/>
  <sheetViews>
    <sheetView tabSelected="1" workbookViewId="0">
      <selection sqref="A1:H1"/>
    </sheetView>
  </sheetViews>
  <sheetFormatPr defaultRowHeight="14.25"/>
  <cols>
    <col min="1" max="1" width="32" customWidth="1"/>
    <col min="2" max="3" width="9" customWidth="1"/>
    <col min="4" max="4" width="11" customWidth="1"/>
    <col min="5" max="5" width="9" customWidth="1"/>
    <col min="6" max="6" width="11" customWidth="1"/>
    <col min="7" max="7" width="9" customWidth="1"/>
    <col min="8" max="8" width="35" customWidth="1"/>
  </cols>
  <sheetData>
    <row r="1" spans="1:8" ht="17.649999999999999">
      <c r="A1" s="84" t="s">
        <v>0</v>
      </c>
      <c r="B1" s="85"/>
      <c r="C1" s="85"/>
      <c r="D1" s="85"/>
      <c r="E1" s="85"/>
      <c r="F1" s="85"/>
      <c r="G1" s="85"/>
      <c r="H1" s="85"/>
    </row>
    <row r="2" spans="1:8">
      <c r="A2" s="86" t="s">
        <v>1</v>
      </c>
      <c r="B2" s="85"/>
      <c r="C2" s="85"/>
      <c r="D2" s="85"/>
      <c r="E2" s="85"/>
      <c r="F2" s="85"/>
      <c r="G2" s="85"/>
      <c r="H2" s="85"/>
    </row>
    <row r="4" spans="1:8">
      <c r="A4" s="87" t="s">
        <v>2</v>
      </c>
      <c r="B4" s="85"/>
      <c r="C4" s="85"/>
      <c r="D4" s="85"/>
      <c r="E4" s="56" t="s">
        <v>3</v>
      </c>
      <c r="F4" s="57" t="s">
        <v>4</v>
      </c>
      <c r="G4" s="57" t="s">
        <v>5</v>
      </c>
      <c r="H4" s="57" t="s">
        <v>6</v>
      </c>
    </row>
    <row r="5" spans="1:8">
      <c r="A5" s="88" t="s">
        <v>7</v>
      </c>
      <c r="B5" s="85"/>
      <c r="C5" s="85"/>
      <c r="D5" s="85"/>
      <c r="E5" s="85"/>
      <c r="F5" s="85"/>
      <c r="G5" s="85"/>
      <c r="H5" s="85"/>
    </row>
    <row r="6" spans="1:8">
      <c r="A6" s="58" t="s">
        <v>8</v>
      </c>
      <c r="B6" s="58" t="s">
        <v>9</v>
      </c>
      <c r="C6" s="58" t="s">
        <v>10</v>
      </c>
      <c r="D6" s="58" t="s">
        <v>11</v>
      </c>
      <c r="E6" s="58" t="s">
        <v>12</v>
      </c>
      <c r="F6" s="58" t="s">
        <v>13</v>
      </c>
      <c r="G6" s="58" t="s">
        <v>14</v>
      </c>
      <c r="H6" s="58" t="s">
        <v>15</v>
      </c>
    </row>
    <row r="7" spans="1:8">
      <c r="A7" s="47" t="s">
        <v>16</v>
      </c>
      <c r="B7" s="59">
        <v>0.92</v>
      </c>
      <c r="C7" s="60">
        <v>1</v>
      </c>
      <c r="D7" s="61">
        <v>8.9999999999999993E-3</v>
      </c>
      <c r="E7" s="62"/>
      <c r="F7" s="63" t="str">
        <f t="shared" ref="F7:F24" si="0">IF(E7="","",(E7*B7/100))</f>
        <v/>
      </c>
      <c r="G7" s="62"/>
      <c r="H7" s="64"/>
    </row>
    <row r="8" spans="1:8">
      <c r="A8" s="47" t="s">
        <v>17</v>
      </c>
      <c r="B8" s="59">
        <v>0.88</v>
      </c>
      <c r="C8" s="60">
        <v>3</v>
      </c>
      <c r="D8" s="61">
        <v>2.5999999999999999E-2</v>
      </c>
      <c r="E8" s="62"/>
      <c r="F8" s="63" t="str">
        <f t="shared" si="0"/>
        <v/>
      </c>
      <c r="G8" s="62"/>
      <c r="H8" s="64"/>
    </row>
    <row r="9" spans="1:8">
      <c r="A9" s="47" t="s">
        <v>18</v>
      </c>
      <c r="B9" s="59">
        <v>0.85</v>
      </c>
      <c r="C9" s="60">
        <v>8</v>
      </c>
      <c r="D9" s="61">
        <v>6.8000000000000005E-2</v>
      </c>
      <c r="E9" s="62"/>
      <c r="F9" s="63" t="str">
        <f t="shared" si="0"/>
        <v/>
      </c>
      <c r="G9" s="62"/>
      <c r="H9" s="64"/>
    </row>
    <row r="10" spans="1:8">
      <c r="A10" s="47" t="s">
        <v>19</v>
      </c>
      <c r="B10" s="59">
        <v>0.82</v>
      </c>
      <c r="C10" s="60">
        <v>5</v>
      </c>
      <c r="D10" s="61">
        <v>4.1000000000000002E-2</v>
      </c>
      <c r="E10" s="62"/>
      <c r="F10" s="63" t="str">
        <f t="shared" si="0"/>
        <v/>
      </c>
      <c r="G10" s="62"/>
      <c r="H10" s="64"/>
    </row>
    <row r="11" spans="1:8">
      <c r="A11" s="47" t="s">
        <v>20</v>
      </c>
      <c r="B11" s="59">
        <v>0.8</v>
      </c>
      <c r="C11" s="60">
        <v>5</v>
      </c>
      <c r="D11" s="61">
        <v>0.04</v>
      </c>
      <c r="E11" s="62"/>
      <c r="F11" s="63" t="str">
        <f t="shared" si="0"/>
        <v/>
      </c>
      <c r="G11" s="62"/>
      <c r="H11" s="64"/>
    </row>
    <row r="12" spans="1:8">
      <c r="A12" s="47" t="s">
        <v>21</v>
      </c>
      <c r="B12" s="59">
        <v>0.78</v>
      </c>
      <c r="C12" s="60">
        <v>1</v>
      </c>
      <c r="D12" s="61">
        <v>8.0000000000000002E-3</v>
      </c>
      <c r="E12" s="62"/>
      <c r="F12" s="63" t="str">
        <f t="shared" si="0"/>
        <v/>
      </c>
      <c r="G12" s="62"/>
      <c r="H12" s="64"/>
    </row>
    <row r="13" spans="1:8">
      <c r="A13" s="47" t="s">
        <v>22</v>
      </c>
      <c r="B13" s="59">
        <v>0.7</v>
      </c>
      <c r="C13" s="60">
        <v>12</v>
      </c>
      <c r="D13" s="61">
        <v>8.4000000000000005E-2</v>
      </c>
      <c r="E13" s="62"/>
      <c r="F13" s="63" t="str">
        <f t="shared" si="0"/>
        <v/>
      </c>
      <c r="G13" s="62"/>
      <c r="H13" s="64"/>
    </row>
    <row r="14" spans="1:8">
      <c r="A14" s="47" t="s">
        <v>23</v>
      </c>
      <c r="B14" s="59">
        <v>0.65</v>
      </c>
      <c r="C14" s="60">
        <v>5</v>
      </c>
      <c r="D14" s="61">
        <v>3.3000000000000002E-2</v>
      </c>
      <c r="E14" s="62"/>
      <c r="F14" s="63" t="str">
        <f t="shared" si="0"/>
        <v/>
      </c>
      <c r="G14" s="62"/>
      <c r="H14" s="64"/>
    </row>
    <row r="15" spans="1:8">
      <c r="A15" s="47" t="s">
        <v>24</v>
      </c>
      <c r="B15" s="59">
        <v>0.75</v>
      </c>
      <c r="C15" s="65">
        <v>0</v>
      </c>
      <c r="D15" s="61">
        <v>0</v>
      </c>
      <c r="E15" s="62"/>
      <c r="F15" s="63" t="str">
        <f t="shared" si="0"/>
        <v/>
      </c>
      <c r="G15" s="62"/>
      <c r="H15" s="64"/>
    </row>
    <row r="16" spans="1:8">
      <c r="A16" s="47" t="s">
        <v>25</v>
      </c>
      <c r="B16" s="59">
        <v>0.55000000000000004</v>
      </c>
      <c r="C16" s="60">
        <v>2</v>
      </c>
      <c r="D16" s="61">
        <v>1.0999999999999999E-2</v>
      </c>
      <c r="E16" s="62"/>
      <c r="F16" s="63" t="str">
        <f t="shared" si="0"/>
        <v/>
      </c>
      <c r="G16" s="62"/>
      <c r="H16" s="64"/>
    </row>
    <row r="17" spans="1:8">
      <c r="A17" s="47" t="s">
        <v>26</v>
      </c>
      <c r="B17" s="59">
        <v>0.5</v>
      </c>
      <c r="C17" s="65">
        <v>0</v>
      </c>
      <c r="D17" s="61">
        <v>0</v>
      </c>
      <c r="E17" s="62"/>
      <c r="F17" s="63" t="str">
        <f t="shared" si="0"/>
        <v/>
      </c>
      <c r="G17" s="62"/>
      <c r="H17" s="64"/>
    </row>
    <row r="18" spans="1:8">
      <c r="A18" s="47" t="s">
        <v>27</v>
      </c>
      <c r="B18" s="59">
        <v>0.35</v>
      </c>
      <c r="C18" s="60">
        <v>28</v>
      </c>
      <c r="D18" s="61">
        <v>9.8000000000000004E-2</v>
      </c>
      <c r="E18" s="62"/>
      <c r="F18" s="63" t="str">
        <f t="shared" si="0"/>
        <v/>
      </c>
      <c r="G18" s="62"/>
      <c r="H18" s="64"/>
    </row>
    <row r="19" spans="1:8">
      <c r="A19" s="47" t="s">
        <v>28</v>
      </c>
      <c r="B19" s="59">
        <v>0.25</v>
      </c>
      <c r="C19" s="60">
        <v>12</v>
      </c>
      <c r="D19" s="61">
        <v>0.03</v>
      </c>
      <c r="E19" s="62"/>
      <c r="F19" s="63" t="str">
        <f t="shared" si="0"/>
        <v/>
      </c>
      <c r="G19" s="62"/>
      <c r="H19" s="64"/>
    </row>
    <row r="20" spans="1:8">
      <c r="A20" s="47" t="s">
        <v>29</v>
      </c>
      <c r="B20" s="59">
        <v>0.35</v>
      </c>
      <c r="C20" s="60">
        <v>2</v>
      </c>
      <c r="D20" s="61">
        <v>7.0000000000000001E-3</v>
      </c>
      <c r="E20" s="62"/>
      <c r="F20" s="63" t="str">
        <f t="shared" si="0"/>
        <v/>
      </c>
      <c r="G20" s="62"/>
      <c r="H20" s="64"/>
    </row>
    <row r="21" spans="1:8">
      <c r="A21" s="47" t="s">
        <v>30</v>
      </c>
      <c r="B21" s="59">
        <v>0.2</v>
      </c>
      <c r="C21" s="60">
        <v>14</v>
      </c>
      <c r="D21" s="61">
        <v>2.8000000000000001E-2</v>
      </c>
      <c r="E21" s="62"/>
      <c r="F21" s="63" t="str">
        <f t="shared" si="0"/>
        <v/>
      </c>
      <c r="G21" s="62"/>
      <c r="H21" s="64"/>
    </row>
    <row r="22" spans="1:8">
      <c r="A22" s="47" t="s">
        <v>31</v>
      </c>
      <c r="B22" s="59">
        <v>0.08</v>
      </c>
      <c r="C22" s="65">
        <v>0</v>
      </c>
      <c r="D22" s="61">
        <v>0</v>
      </c>
      <c r="E22" s="62"/>
      <c r="F22" s="63" t="str">
        <f t="shared" si="0"/>
        <v/>
      </c>
      <c r="G22" s="62"/>
      <c r="H22" s="64"/>
    </row>
    <row r="23" spans="1:8">
      <c r="A23" s="47" t="s">
        <v>32</v>
      </c>
      <c r="B23" s="59">
        <v>0.1</v>
      </c>
      <c r="C23" s="60">
        <v>2</v>
      </c>
      <c r="D23" s="61">
        <v>2E-3</v>
      </c>
      <c r="E23" s="62"/>
      <c r="F23" s="63" t="str">
        <f t="shared" si="0"/>
        <v/>
      </c>
      <c r="G23" s="62"/>
      <c r="H23" s="64"/>
    </row>
    <row r="24" spans="1:8">
      <c r="A24" s="47" t="s">
        <v>33</v>
      </c>
      <c r="B24" s="59">
        <v>0.05</v>
      </c>
      <c r="C24" s="65">
        <v>0</v>
      </c>
      <c r="D24" s="61">
        <v>0</v>
      </c>
      <c r="E24" s="62"/>
      <c r="F24" s="63" t="str">
        <f t="shared" si="0"/>
        <v/>
      </c>
      <c r="G24" s="62"/>
      <c r="H24" s="64"/>
    </row>
    <row r="25" spans="1:8">
      <c r="A25" s="66" t="s">
        <v>34</v>
      </c>
      <c r="C25" s="67">
        <v>100</v>
      </c>
      <c r="D25" s="68">
        <v>0.48499999999999999</v>
      </c>
      <c r="E25" s="69">
        <f>SUM(E7:E24)</f>
        <v>0</v>
      </c>
      <c r="F25" s="70">
        <f>SUM(F7:F24)</f>
        <v>0</v>
      </c>
    </row>
    <row r="27" spans="1:8">
      <c r="A27" s="87" t="s">
        <v>35</v>
      </c>
      <c r="B27" s="85"/>
      <c r="C27" s="85"/>
      <c r="D27" s="85"/>
      <c r="E27" s="56" t="s">
        <v>36</v>
      </c>
      <c r="F27" s="57" t="s">
        <v>37</v>
      </c>
      <c r="G27" s="57" t="s">
        <v>38</v>
      </c>
      <c r="H27" s="57" t="s">
        <v>39</v>
      </c>
    </row>
    <row r="28" spans="1:8">
      <c r="A28" s="88" t="s">
        <v>40</v>
      </c>
      <c r="B28" s="85"/>
      <c r="C28" s="85"/>
      <c r="D28" s="85"/>
      <c r="E28" s="85"/>
      <c r="F28" s="85"/>
      <c r="G28" s="85"/>
      <c r="H28" s="85"/>
    </row>
    <row r="29" spans="1:8">
      <c r="A29" s="58" t="s">
        <v>8</v>
      </c>
      <c r="B29" s="58" t="s">
        <v>9</v>
      </c>
      <c r="C29" s="58" t="s">
        <v>10</v>
      </c>
      <c r="D29" s="58" t="s">
        <v>11</v>
      </c>
      <c r="E29" s="58" t="s">
        <v>12</v>
      </c>
      <c r="F29" s="58" t="s">
        <v>13</v>
      </c>
      <c r="G29" s="58" t="s">
        <v>14</v>
      </c>
      <c r="H29" s="58" t="s">
        <v>15</v>
      </c>
    </row>
    <row r="30" spans="1:8">
      <c r="A30" s="47" t="s">
        <v>16</v>
      </c>
      <c r="B30" s="59">
        <v>0.92</v>
      </c>
      <c r="C30" s="60">
        <v>5</v>
      </c>
      <c r="D30" s="61">
        <v>4.5999999999999999E-2</v>
      </c>
      <c r="E30" s="62"/>
      <c r="F30" s="63" t="str">
        <f t="shared" ref="F30:F47" si="1">IF(E30="","",(E30*B30/100))</f>
        <v/>
      </c>
      <c r="G30" s="62"/>
      <c r="H30" s="64"/>
    </row>
    <row r="31" spans="1:8">
      <c r="A31" s="47" t="s">
        <v>17</v>
      </c>
      <c r="B31" s="59">
        <v>0.88</v>
      </c>
      <c r="C31" s="60">
        <v>3</v>
      </c>
      <c r="D31" s="61">
        <v>2.5999999999999999E-2</v>
      </c>
      <c r="E31" s="62"/>
      <c r="F31" s="63" t="str">
        <f t="shared" si="1"/>
        <v/>
      </c>
      <c r="G31" s="62"/>
      <c r="H31" s="64"/>
    </row>
    <row r="32" spans="1:8">
      <c r="A32" s="47" t="s">
        <v>18</v>
      </c>
      <c r="B32" s="59">
        <v>0.85</v>
      </c>
      <c r="C32" s="60">
        <v>18</v>
      </c>
      <c r="D32" s="61">
        <v>0.153</v>
      </c>
      <c r="E32" s="62"/>
      <c r="F32" s="63" t="str">
        <f t="shared" si="1"/>
        <v/>
      </c>
      <c r="G32" s="62"/>
      <c r="H32" s="64"/>
    </row>
    <row r="33" spans="1:8">
      <c r="A33" s="47" t="s">
        <v>19</v>
      </c>
      <c r="B33" s="59">
        <v>0.82</v>
      </c>
      <c r="C33" s="60">
        <v>2</v>
      </c>
      <c r="D33" s="61">
        <v>1.6E-2</v>
      </c>
      <c r="E33" s="62"/>
      <c r="F33" s="63" t="str">
        <f t="shared" si="1"/>
        <v/>
      </c>
      <c r="G33" s="62"/>
      <c r="H33" s="64"/>
    </row>
    <row r="34" spans="1:8">
      <c r="A34" s="47" t="s">
        <v>20</v>
      </c>
      <c r="B34" s="59">
        <v>0.8</v>
      </c>
      <c r="C34" s="60">
        <v>8</v>
      </c>
      <c r="D34" s="61">
        <v>6.4000000000000001E-2</v>
      </c>
      <c r="E34" s="62"/>
      <c r="F34" s="63" t="str">
        <f t="shared" si="1"/>
        <v/>
      </c>
      <c r="G34" s="62"/>
      <c r="H34" s="64"/>
    </row>
    <row r="35" spans="1:8">
      <c r="A35" s="47" t="s">
        <v>21</v>
      </c>
      <c r="B35" s="59">
        <v>0.78</v>
      </c>
      <c r="C35" s="60">
        <v>5</v>
      </c>
      <c r="D35" s="61">
        <v>3.9E-2</v>
      </c>
      <c r="E35" s="62"/>
      <c r="F35" s="63" t="str">
        <f t="shared" si="1"/>
        <v/>
      </c>
      <c r="G35" s="62"/>
      <c r="H35" s="64"/>
    </row>
    <row r="36" spans="1:8">
      <c r="A36" s="47" t="s">
        <v>22</v>
      </c>
      <c r="B36" s="59">
        <v>0.7</v>
      </c>
      <c r="C36" s="60">
        <v>12</v>
      </c>
      <c r="D36" s="61">
        <v>8.4000000000000005E-2</v>
      </c>
      <c r="E36" s="62"/>
      <c r="F36" s="63" t="str">
        <f t="shared" si="1"/>
        <v/>
      </c>
      <c r="G36" s="62"/>
      <c r="H36" s="64"/>
    </row>
    <row r="37" spans="1:8">
      <c r="A37" s="47" t="s">
        <v>23</v>
      </c>
      <c r="B37" s="59">
        <v>0.65</v>
      </c>
      <c r="C37" s="60">
        <v>2</v>
      </c>
      <c r="D37" s="61">
        <v>1.2999999999999999E-2</v>
      </c>
      <c r="E37" s="62"/>
      <c r="F37" s="63" t="str">
        <f t="shared" si="1"/>
        <v/>
      </c>
      <c r="G37" s="62"/>
      <c r="H37" s="64"/>
    </row>
    <row r="38" spans="1:8">
      <c r="A38" s="47" t="s">
        <v>24</v>
      </c>
      <c r="B38" s="59">
        <v>0.75</v>
      </c>
      <c r="C38" s="60">
        <v>1</v>
      </c>
      <c r="D38" s="61">
        <v>7.0000000000000001E-3</v>
      </c>
      <c r="E38" s="62"/>
      <c r="F38" s="63" t="str">
        <f t="shared" si="1"/>
        <v/>
      </c>
      <c r="G38" s="62"/>
      <c r="H38" s="64"/>
    </row>
    <row r="39" spans="1:8">
      <c r="A39" s="47" t="s">
        <v>25</v>
      </c>
      <c r="B39" s="59">
        <v>0.55000000000000004</v>
      </c>
      <c r="C39" s="60">
        <v>25</v>
      </c>
      <c r="D39" s="61">
        <v>0.13800000000000001</v>
      </c>
      <c r="E39" s="62"/>
      <c r="F39" s="63" t="str">
        <f t="shared" si="1"/>
        <v/>
      </c>
      <c r="G39" s="62"/>
      <c r="H39" s="64"/>
    </row>
    <row r="40" spans="1:8">
      <c r="A40" s="47" t="s">
        <v>26</v>
      </c>
      <c r="B40" s="59">
        <v>0.5</v>
      </c>
      <c r="C40" s="65">
        <v>0</v>
      </c>
      <c r="D40" s="61">
        <v>0</v>
      </c>
      <c r="E40" s="62"/>
      <c r="F40" s="63" t="str">
        <f t="shared" si="1"/>
        <v/>
      </c>
      <c r="G40" s="62"/>
      <c r="H40" s="64"/>
    </row>
    <row r="41" spans="1:8">
      <c r="A41" s="47" t="s">
        <v>27</v>
      </c>
      <c r="B41" s="59">
        <v>0.35</v>
      </c>
      <c r="C41" s="60">
        <v>8</v>
      </c>
      <c r="D41" s="61">
        <v>2.8000000000000001E-2</v>
      </c>
      <c r="E41" s="62"/>
      <c r="F41" s="63" t="str">
        <f t="shared" si="1"/>
        <v/>
      </c>
      <c r="G41" s="62"/>
      <c r="H41" s="64"/>
    </row>
    <row r="42" spans="1:8">
      <c r="A42" s="47" t="s">
        <v>28</v>
      </c>
      <c r="B42" s="59">
        <v>0.25</v>
      </c>
      <c r="C42" s="60">
        <v>1</v>
      </c>
      <c r="D42" s="61">
        <v>3.0000000000000001E-3</v>
      </c>
      <c r="E42" s="62"/>
      <c r="F42" s="63" t="str">
        <f t="shared" si="1"/>
        <v/>
      </c>
      <c r="G42" s="62"/>
      <c r="H42" s="64"/>
    </row>
    <row r="43" spans="1:8">
      <c r="A43" s="47" t="s">
        <v>29</v>
      </c>
      <c r="B43" s="59">
        <v>0.35</v>
      </c>
      <c r="C43" s="60">
        <v>5</v>
      </c>
      <c r="D43" s="61">
        <v>1.7999999999999999E-2</v>
      </c>
      <c r="E43" s="62"/>
      <c r="F43" s="63" t="str">
        <f t="shared" si="1"/>
        <v/>
      </c>
      <c r="G43" s="62"/>
      <c r="H43" s="64"/>
    </row>
    <row r="44" spans="1:8">
      <c r="A44" s="47" t="s">
        <v>30</v>
      </c>
      <c r="B44" s="59">
        <v>0.2</v>
      </c>
      <c r="C44" s="60">
        <v>3</v>
      </c>
      <c r="D44" s="61">
        <v>6.0000000000000001E-3</v>
      </c>
      <c r="E44" s="62"/>
      <c r="F44" s="63" t="str">
        <f t="shared" si="1"/>
        <v/>
      </c>
      <c r="G44" s="62"/>
      <c r="H44" s="64"/>
    </row>
    <row r="45" spans="1:8">
      <c r="A45" s="47" t="s">
        <v>31</v>
      </c>
      <c r="B45" s="59">
        <v>0.08</v>
      </c>
      <c r="C45" s="65">
        <v>0</v>
      </c>
      <c r="D45" s="61">
        <v>0</v>
      </c>
      <c r="E45" s="62"/>
      <c r="F45" s="63" t="str">
        <f t="shared" si="1"/>
        <v/>
      </c>
      <c r="G45" s="62"/>
      <c r="H45" s="64"/>
    </row>
    <row r="46" spans="1:8">
      <c r="A46" s="47" t="s">
        <v>32</v>
      </c>
      <c r="B46" s="59">
        <v>0.1</v>
      </c>
      <c r="C46" s="60">
        <v>2</v>
      </c>
      <c r="D46" s="61">
        <v>2E-3</v>
      </c>
      <c r="E46" s="62"/>
      <c r="F46" s="63" t="str">
        <f t="shared" si="1"/>
        <v/>
      </c>
      <c r="G46" s="62"/>
      <c r="H46" s="64"/>
    </row>
    <row r="47" spans="1:8">
      <c r="A47" s="47" t="s">
        <v>33</v>
      </c>
      <c r="B47" s="59">
        <v>0.05</v>
      </c>
      <c r="C47" s="65">
        <v>0</v>
      </c>
      <c r="D47" s="61">
        <v>0</v>
      </c>
      <c r="E47" s="62"/>
      <c r="F47" s="63" t="str">
        <f t="shared" si="1"/>
        <v/>
      </c>
      <c r="G47" s="62"/>
      <c r="H47" s="64"/>
    </row>
    <row r="48" spans="1:8">
      <c r="A48" s="66" t="s">
        <v>34</v>
      </c>
      <c r="C48" s="67">
        <v>100</v>
      </c>
      <c r="D48" s="68">
        <v>0.64300000000000002</v>
      </c>
      <c r="E48" s="69">
        <f>SUM(E30:E47)</f>
        <v>0</v>
      </c>
      <c r="F48" s="70">
        <f>SUM(F30:F47)</f>
        <v>0</v>
      </c>
    </row>
    <row r="50" spans="1:8">
      <c r="A50" s="87" t="s">
        <v>41</v>
      </c>
      <c r="B50" s="85"/>
      <c r="C50" s="85"/>
      <c r="D50" s="85"/>
      <c r="E50" s="56" t="s">
        <v>42</v>
      </c>
      <c r="F50" s="57" t="s">
        <v>43</v>
      </c>
      <c r="G50" s="57" t="s">
        <v>44</v>
      </c>
      <c r="H50" s="57" t="s">
        <v>45</v>
      </c>
    </row>
    <row r="51" spans="1:8">
      <c r="A51" s="88" t="s">
        <v>46</v>
      </c>
      <c r="B51" s="85"/>
      <c r="C51" s="85"/>
      <c r="D51" s="85"/>
      <c r="E51" s="85"/>
      <c r="F51" s="85"/>
      <c r="G51" s="85"/>
      <c r="H51" s="85"/>
    </row>
    <row r="52" spans="1:8">
      <c r="A52" s="58" t="s">
        <v>8</v>
      </c>
      <c r="B52" s="58" t="s">
        <v>9</v>
      </c>
      <c r="C52" s="58" t="s">
        <v>10</v>
      </c>
      <c r="D52" s="58" t="s">
        <v>11</v>
      </c>
      <c r="E52" s="58" t="s">
        <v>12</v>
      </c>
      <c r="F52" s="58" t="s">
        <v>13</v>
      </c>
      <c r="G52" s="58" t="s">
        <v>14</v>
      </c>
      <c r="H52" s="58" t="s">
        <v>15</v>
      </c>
    </row>
    <row r="53" spans="1:8">
      <c r="A53" s="47" t="s">
        <v>16</v>
      </c>
      <c r="B53" s="59">
        <v>0.92</v>
      </c>
      <c r="C53" s="60">
        <v>2</v>
      </c>
      <c r="D53" s="61">
        <v>1.7999999999999999E-2</v>
      </c>
      <c r="E53" s="62"/>
      <c r="F53" s="63" t="str">
        <f t="shared" ref="F53:F70" si="2">IF(E53="","",(E53*B53/100))</f>
        <v/>
      </c>
      <c r="G53" s="62"/>
      <c r="H53" s="64"/>
    </row>
    <row r="54" spans="1:8">
      <c r="A54" s="47" t="s">
        <v>17</v>
      </c>
      <c r="B54" s="59">
        <v>0.88</v>
      </c>
      <c r="C54" s="60">
        <v>3</v>
      </c>
      <c r="D54" s="61">
        <v>2.5999999999999999E-2</v>
      </c>
      <c r="E54" s="62"/>
      <c r="F54" s="63" t="str">
        <f t="shared" si="2"/>
        <v/>
      </c>
      <c r="G54" s="62"/>
      <c r="H54" s="64"/>
    </row>
    <row r="55" spans="1:8">
      <c r="A55" s="47" t="s">
        <v>18</v>
      </c>
      <c r="B55" s="59">
        <v>0.85</v>
      </c>
      <c r="C55" s="60">
        <v>20</v>
      </c>
      <c r="D55" s="61">
        <v>0.17</v>
      </c>
      <c r="E55" s="62"/>
      <c r="F55" s="63" t="str">
        <f t="shared" si="2"/>
        <v/>
      </c>
      <c r="G55" s="62"/>
      <c r="H55" s="64"/>
    </row>
    <row r="56" spans="1:8">
      <c r="A56" s="47" t="s">
        <v>19</v>
      </c>
      <c r="B56" s="59">
        <v>0.82</v>
      </c>
      <c r="C56" s="60">
        <v>3</v>
      </c>
      <c r="D56" s="61">
        <v>2.5000000000000001E-2</v>
      </c>
      <c r="E56" s="62"/>
      <c r="F56" s="63" t="str">
        <f t="shared" si="2"/>
        <v/>
      </c>
      <c r="G56" s="62"/>
      <c r="H56" s="64"/>
    </row>
    <row r="57" spans="1:8">
      <c r="A57" s="47" t="s">
        <v>20</v>
      </c>
      <c r="B57" s="59">
        <v>0.8</v>
      </c>
      <c r="C57" s="60">
        <v>1</v>
      </c>
      <c r="D57" s="61">
        <v>8.0000000000000002E-3</v>
      </c>
      <c r="E57" s="62"/>
      <c r="F57" s="63" t="str">
        <f t="shared" si="2"/>
        <v/>
      </c>
      <c r="G57" s="62"/>
      <c r="H57" s="64"/>
    </row>
    <row r="58" spans="1:8">
      <c r="A58" s="47" t="s">
        <v>21</v>
      </c>
      <c r="B58" s="59">
        <v>0.78</v>
      </c>
      <c r="C58" s="60">
        <v>3</v>
      </c>
      <c r="D58" s="61">
        <v>2.3E-2</v>
      </c>
      <c r="E58" s="62"/>
      <c r="F58" s="63" t="str">
        <f t="shared" si="2"/>
        <v/>
      </c>
      <c r="G58" s="62"/>
      <c r="H58" s="64"/>
    </row>
    <row r="59" spans="1:8">
      <c r="A59" s="47" t="s">
        <v>22</v>
      </c>
      <c r="B59" s="59">
        <v>0.7</v>
      </c>
      <c r="C59" s="60">
        <v>25</v>
      </c>
      <c r="D59" s="61">
        <v>0.17499999999999999</v>
      </c>
      <c r="E59" s="62"/>
      <c r="F59" s="63" t="str">
        <f t="shared" si="2"/>
        <v/>
      </c>
      <c r="G59" s="62"/>
      <c r="H59" s="64"/>
    </row>
    <row r="60" spans="1:8">
      <c r="A60" s="47" t="s">
        <v>23</v>
      </c>
      <c r="B60" s="59">
        <v>0.65</v>
      </c>
      <c r="C60" s="60">
        <v>5</v>
      </c>
      <c r="D60" s="61">
        <v>3.3000000000000002E-2</v>
      </c>
      <c r="E60" s="62"/>
      <c r="F60" s="63" t="str">
        <f t="shared" si="2"/>
        <v/>
      </c>
      <c r="G60" s="62"/>
      <c r="H60" s="64"/>
    </row>
    <row r="61" spans="1:8">
      <c r="A61" s="47" t="s">
        <v>24</v>
      </c>
      <c r="B61" s="59">
        <v>0.75</v>
      </c>
      <c r="C61" s="65">
        <v>0</v>
      </c>
      <c r="D61" s="61">
        <v>0</v>
      </c>
      <c r="E61" s="62"/>
      <c r="F61" s="63" t="str">
        <f t="shared" si="2"/>
        <v/>
      </c>
      <c r="G61" s="62"/>
      <c r="H61" s="64"/>
    </row>
    <row r="62" spans="1:8">
      <c r="A62" s="47" t="s">
        <v>25</v>
      </c>
      <c r="B62" s="59">
        <v>0.55000000000000004</v>
      </c>
      <c r="C62" s="60">
        <v>3</v>
      </c>
      <c r="D62" s="61">
        <v>1.7000000000000001E-2</v>
      </c>
      <c r="E62" s="62"/>
      <c r="F62" s="63" t="str">
        <f t="shared" si="2"/>
        <v/>
      </c>
      <c r="G62" s="62"/>
      <c r="H62" s="64"/>
    </row>
    <row r="63" spans="1:8">
      <c r="A63" s="47" t="s">
        <v>26</v>
      </c>
      <c r="B63" s="59">
        <v>0.5</v>
      </c>
      <c r="C63" s="65">
        <v>0</v>
      </c>
      <c r="D63" s="61">
        <v>0</v>
      </c>
      <c r="E63" s="62"/>
      <c r="F63" s="63" t="str">
        <f t="shared" si="2"/>
        <v/>
      </c>
      <c r="G63" s="62"/>
      <c r="H63" s="64"/>
    </row>
    <row r="64" spans="1:8">
      <c r="A64" s="47" t="s">
        <v>27</v>
      </c>
      <c r="B64" s="59">
        <v>0.35</v>
      </c>
      <c r="C64" s="60">
        <v>20</v>
      </c>
      <c r="D64" s="61">
        <v>7.0000000000000007E-2</v>
      </c>
      <c r="E64" s="62"/>
      <c r="F64" s="63" t="str">
        <f t="shared" si="2"/>
        <v/>
      </c>
      <c r="G64" s="62"/>
      <c r="H64" s="64"/>
    </row>
    <row r="65" spans="1:8">
      <c r="A65" s="47" t="s">
        <v>28</v>
      </c>
      <c r="B65" s="59">
        <v>0.25</v>
      </c>
      <c r="C65" s="60">
        <v>8</v>
      </c>
      <c r="D65" s="61">
        <v>0.02</v>
      </c>
      <c r="E65" s="62"/>
      <c r="F65" s="63" t="str">
        <f t="shared" si="2"/>
        <v/>
      </c>
      <c r="G65" s="62"/>
      <c r="H65" s="64"/>
    </row>
    <row r="66" spans="1:8">
      <c r="A66" s="47" t="s">
        <v>29</v>
      </c>
      <c r="B66" s="59">
        <v>0.35</v>
      </c>
      <c r="C66" s="60">
        <v>2</v>
      </c>
      <c r="D66" s="61">
        <v>7.0000000000000001E-3</v>
      </c>
      <c r="E66" s="62"/>
      <c r="F66" s="63" t="str">
        <f t="shared" si="2"/>
        <v/>
      </c>
      <c r="G66" s="62"/>
      <c r="H66" s="64"/>
    </row>
    <row r="67" spans="1:8">
      <c r="A67" s="47" t="s">
        <v>30</v>
      </c>
      <c r="B67" s="59">
        <v>0.2</v>
      </c>
      <c r="C67" s="60">
        <v>3</v>
      </c>
      <c r="D67" s="61">
        <v>6.0000000000000001E-3</v>
      </c>
      <c r="E67" s="62"/>
      <c r="F67" s="63" t="str">
        <f t="shared" si="2"/>
        <v/>
      </c>
      <c r="G67" s="62"/>
      <c r="H67" s="64"/>
    </row>
    <row r="68" spans="1:8">
      <c r="A68" s="47" t="s">
        <v>31</v>
      </c>
      <c r="B68" s="59">
        <v>0.08</v>
      </c>
      <c r="C68" s="65">
        <v>0</v>
      </c>
      <c r="D68" s="61">
        <v>0</v>
      </c>
      <c r="E68" s="62"/>
      <c r="F68" s="63" t="str">
        <f t="shared" si="2"/>
        <v/>
      </c>
      <c r="G68" s="62"/>
      <c r="H68" s="64"/>
    </row>
    <row r="69" spans="1:8">
      <c r="A69" s="47" t="s">
        <v>32</v>
      </c>
      <c r="B69" s="59">
        <v>0.1</v>
      </c>
      <c r="C69" s="60">
        <v>2</v>
      </c>
      <c r="D69" s="61">
        <v>2E-3</v>
      </c>
      <c r="E69" s="62"/>
      <c r="F69" s="63" t="str">
        <f t="shared" si="2"/>
        <v/>
      </c>
      <c r="G69" s="62"/>
      <c r="H69" s="64"/>
    </row>
    <row r="70" spans="1:8">
      <c r="A70" s="47" t="s">
        <v>33</v>
      </c>
      <c r="B70" s="59">
        <v>0.05</v>
      </c>
      <c r="C70" s="65">
        <v>0</v>
      </c>
      <c r="D70" s="61">
        <v>0</v>
      </c>
      <c r="E70" s="62"/>
      <c r="F70" s="63" t="str">
        <f t="shared" si="2"/>
        <v/>
      </c>
      <c r="G70" s="62"/>
      <c r="H70" s="64"/>
    </row>
    <row r="71" spans="1:8">
      <c r="A71" s="66" t="s">
        <v>34</v>
      </c>
      <c r="C71" s="67">
        <v>100</v>
      </c>
      <c r="D71" s="68">
        <v>0.6</v>
      </c>
      <c r="E71" s="69">
        <f>SUM(E53:E70)</f>
        <v>0</v>
      </c>
      <c r="F71" s="70">
        <f>SUM(F53:F70)</f>
        <v>0</v>
      </c>
    </row>
    <row r="73" spans="1:8">
      <c r="A73" s="87" t="s">
        <v>47</v>
      </c>
      <c r="B73" s="85"/>
      <c r="C73" s="85"/>
      <c r="D73" s="85"/>
      <c r="E73" s="56" t="s">
        <v>42</v>
      </c>
      <c r="F73" s="57" t="s">
        <v>48</v>
      </c>
      <c r="G73" s="57" t="s">
        <v>49</v>
      </c>
      <c r="H73" s="57" t="s">
        <v>50</v>
      </c>
    </row>
    <row r="74" spans="1:8">
      <c r="A74" s="88" t="s">
        <v>51</v>
      </c>
      <c r="B74" s="85"/>
      <c r="C74" s="85"/>
      <c r="D74" s="85"/>
      <c r="E74" s="85"/>
      <c r="F74" s="85"/>
      <c r="G74" s="85"/>
      <c r="H74" s="85"/>
    </row>
    <row r="75" spans="1:8">
      <c r="A75" s="58" t="s">
        <v>8</v>
      </c>
      <c r="B75" s="58" t="s">
        <v>9</v>
      </c>
      <c r="C75" s="58" t="s">
        <v>10</v>
      </c>
      <c r="D75" s="58" t="s">
        <v>11</v>
      </c>
      <c r="E75" s="58" t="s">
        <v>12</v>
      </c>
      <c r="F75" s="58" t="s">
        <v>13</v>
      </c>
      <c r="G75" s="58" t="s">
        <v>14</v>
      </c>
      <c r="H75" s="58" t="s">
        <v>15</v>
      </c>
    </row>
    <row r="76" spans="1:8">
      <c r="A76" s="47" t="s">
        <v>16</v>
      </c>
      <c r="B76" s="59">
        <v>0.92</v>
      </c>
      <c r="C76" s="60">
        <v>5</v>
      </c>
      <c r="D76" s="61">
        <v>4.5999999999999999E-2</v>
      </c>
      <c r="E76" s="62"/>
      <c r="F76" s="63" t="str">
        <f t="shared" ref="F76:F93" si="3">IF(E76="","",(E76*B76/100))</f>
        <v/>
      </c>
      <c r="G76" s="62"/>
      <c r="H76" s="64"/>
    </row>
    <row r="77" spans="1:8">
      <c r="A77" s="47" t="s">
        <v>17</v>
      </c>
      <c r="B77" s="59">
        <v>0.88</v>
      </c>
      <c r="C77" s="60">
        <v>3</v>
      </c>
      <c r="D77" s="61">
        <v>2.5999999999999999E-2</v>
      </c>
      <c r="E77" s="62"/>
      <c r="F77" s="63" t="str">
        <f t="shared" si="3"/>
        <v/>
      </c>
      <c r="G77" s="62"/>
      <c r="H77" s="64"/>
    </row>
    <row r="78" spans="1:8">
      <c r="A78" s="47" t="s">
        <v>18</v>
      </c>
      <c r="B78" s="59">
        <v>0.85</v>
      </c>
      <c r="C78" s="60">
        <v>12</v>
      </c>
      <c r="D78" s="61">
        <v>0.10199999999999999</v>
      </c>
      <c r="E78" s="62"/>
      <c r="F78" s="63" t="str">
        <f t="shared" si="3"/>
        <v/>
      </c>
      <c r="G78" s="62"/>
      <c r="H78" s="64"/>
    </row>
    <row r="79" spans="1:8">
      <c r="A79" s="47" t="s">
        <v>19</v>
      </c>
      <c r="B79" s="59">
        <v>0.82</v>
      </c>
      <c r="C79" s="60">
        <v>3</v>
      </c>
      <c r="D79" s="61">
        <v>2.5000000000000001E-2</v>
      </c>
      <c r="E79" s="62"/>
      <c r="F79" s="63" t="str">
        <f t="shared" si="3"/>
        <v/>
      </c>
      <c r="G79" s="62"/>
      <c r="H79" s="64"/>
    </row>
    <row r="80" spans="1:8">
      <c r="A80" s="47" t="s">
        <v>20</v>
      </c>
      <c r="B80" s="59">
        <v>0.8</v>
      </c>
      <c r="C80" s="60">
        <v>20</v>
      </c>
      <c r="D80" s="61">
        <v>0.16</v>
      </c>
      <c r="E80" s="62"/>
      <c r="F80" s="63" t="str">
        <f t="shared" si="3"/>
        <v/>
      </c>
      <c r="G80" s="62"/>
      <c r="H80" s="64"/>
    </row>
    <row r="81" spans="1:8">
      <c r="A81" s="47" t="s">
        <v>21</v>
      </c>
      <c r="B81" s="59">
        <v>0.78</v>
      </c>
      <c r="C81" s="60">
        <v>5</v>
      </c>
      <c r="D81" s="61">
        <v>3.9E-2</v>
      </c>
      <c r="E81" s="62"/>
      <c r="F81" s="63" t="str">
        <f t="shared" si="3"/>
        <v/>
      </c>
      <c r="G81" s="62"/>
      <c r="H81" s="64"/>
    </row>
    <row r="82" spans="1:8">
      <c r="A82" s="47" t="s">
        <v>22</v>
      </c>
      <c r="B82" s="59">
        <v>0.7</v>
      </c>
      <c r="C82" s="60">
        <v>15</v>
      </c>
      <c r="D82" s="61">
        <v>0.105</v>
      </c>
      <c r="E82" s="62"/>
      <c r="F82" s="63" t="str">
        <f t="shared" si="3"/>
        <v/>
      </c>
      <c r="G82" s="62"/>
      <c r="H82" s="64"/>
    </row>
    <row r="83" spans="1:8">
      <c r="A83" s="47" t="s">
        <v>23</v>
      </c>
      <c r="B83" s="59">
        <v>0.65</v>
      </c>
      <c r="C83" s="60">
        <v>5</v>
      </c>
      <c r="D83" s="61">
        <v>3.3000000000000002E-2</v>
      </c>
      <c r="E83" s="62"/>
      <c r="F83" s="63" t="str">
        <f t="shared" si="3"/>
        <v/>
      </c>
      <c r="G83" s="62"/>
      <c r="H83" s="64"/>
    </row>
    <row r="84" spans="1:8">
      <c r="A84" s="47" t="s">
        <v>24</v>
      </c>
      <c r="B84" s="59">
        <v>0.75</v>
      </c>
      <c r="C84" s="65">
        <v>0</v>
      </c>
      <c r="D84" s="61">
        <v>0</v>
      </c>
      <c r="E84" s="62"/>
      <c r="F84" s="63" t="str">
        <f t="shared" si="3"/>
        <v/>
      </c>
      <c r="G84" s="62"/>
      <c r="H84" s="64"/>
    </row>
    <row r="85" spans="1:8">
      <c r="A85" s="47" t="s">
        <v>25</v>
      </c>
      <c r="B85" s="59">
        <v>0.55000000000000004</v>
      </c>
      <c r="C85" s="60">
        <v>10</v>
      </c>
      <c r="D85" s="61">
        <v>5.5E-2</v>
      </c>
      <c r="E85" s="62"/>
      <c r="F85" s="63" t="str">
        <f t="shared" si="3"/>
        <v/>
      </c>
      <c r="G85" s="62"/>
      <c r="H85" s="64"/>
    </row>
    <row r="86" spans="1:8">
      <c r="A86" s="47" t="s">
        <v>26</v>
      </c>
      <c r="B86" s="59">
        <v>0.5</v>
      </c>
      <c r="C86" s="65">
        <v>0</v>
      </c>
      <c r="D86" s="61">
        <v>0</v>
      </c>
      <c r="E86" s="62"/>
      <c r="F86" s="63" t="str">
        <f t="shared" si="3"/>
        <v/>
      </c>
      <c r="G86" s="62"/>
      <c r="H86" s="64"/>
    </row>
    <row r="87" spans="1:8">
      <c r="A87" s="47" t="s">
        <v>27</v>
      </c>
      <c r="B87" s="59">
        <v>0.35</v>
      </c>
      <c r="C87" s="60">
        <v>8</v>
      </c>
      <c r="D87" s="61">
        <v>2.8000000000000001E-2</v>
      </c>
      <c r="E87" s="62"/>
      <c r="F87" s="63" t="str">
        <f t="shared" si="3"/>
        <v/>
      </c>
      <c r="G87" s="62"/>
      <c r="H87" s="64"/>
    </row>
    <row r="88" spans="1:8">
      <c r="A88" s="47" t="s">
        <v>28</v>
      </c>
      <c r="B88" s="59">
        <v>0.25</v>
      </c>
      <c r="C88" s="60">
        <v>5</v>
      </c>
      <c r="D88" s="61">
        <v>1.2999999999999999E-2</v>
      </c>
      <c r="E88" s="62"/>
      <c r="F88" s="63" t="str">
        <f t="shared" si="3"/>
        <v/>
      </c>
      <c r="G88" s="62"/>
      <c r="H88" s="64"/>
    </row>
    <row r="89" spans="1:8">
      <c r="A89" s="47" t="s">
        <v>29</v>
      </c>
      <c r="B89" s="59">
        <v>0.35</v>
      </c>
      <c r="C89" s="60">
        <v>2</v>
      </c>
      <c r="D89" s="61">
        <v>7.0000000000000001E-3</v>
      </c>
      <c r="E89" s="62"/>
      <c r="F89" s="63" t="str">
        <f t="shared" si="3"/>
        <v/>
      </c>
      <c r="G89" s="62"/>
      <c r="H89" s="64"/>
    </row>
    <row r="90" spans="1:8">
      <c r="A90" s="47" t="s">
        <v>30</v>
      </c>
      <c r="B90" s="59">
        <v>0.2</v>
      </c>
      <c r="C90" s="60">
        <v>3</v>
      </c>
      <c r="D90" s="61">
        <v>6.0000000000000001E-3</v>
      </c>
      <c r="E90" s="62"/>
      <c r="F90" s="63" t="str">
        <f t="shared" si="3"/>
        <v/>
      </c>
      <c r="G90" s="62"/>
      <c r="H90" s="64"/>
    </row>
    <row r="91" spans="1:8">
      <c r="A91" s="47" t="s">
        <v>31</v>
      </c>
      <c r="B91" s="59">
        <v>0.08</v>
      </c>
      <c r="C91" s="65">
        <v>0</v>
      </c>
      <c r="D91" s="61">
        <v>0</v>
      </c>
      <c r="E91" s="62"/>
      <c r="F91" s="63" t="str">
        <f t="shared" si="3"/>
        <v/>
      </c>
      <c r="G91" s="62"/>
      <c r="H91" s="64"/>
    </row>
    <row r="92" spans="1:8">
      <c r="A92" s="47" t="s">
        <v>32</v>
      </c>
      <c r="B92" s="59">
        <v>0.1</v>
      </c>
      <c r="C92" s="60">
        <v>2</v>
      </c>
      <c r="D92" s="61">
        <v>2E-3</v>
      </c>
      <c r="E92" s="62"/>
      <c r="F92" s="63" t="str">
        <f t="shared" si="3"/>
        <v/>
      </c>
      <c r="G92" s="62"/>
      <c r="H92" s="64"/>
    </row>
    <row r="93" spans="1:8">
      <c r="A93" s="47" t="s">
        <v>33</v>
      </c>
      <c r="B93" s="59">
        <v>0.05</v>
      </c>
      <c r="C93" s="60">
        <v>2</v>
      </c>
      <c r="D93" s="61">
        <v>1E-3</v>
      </c>
      <c r="E93" s="62"/>
      <c r="F93" s="63" t="str">
        <f t="shared" si="3"/>
        <v/>
      </c>
      <c r="G93" s="62"/>
      <c r="H93" s="64"/>
    </row>
    <row r="94" spans="1:8">
      <c r="A94" s="66" t="s">
        <v>34</v>
      </c>
      <c r="C94" s="67">
        <v>100</v>
      </c>
      <c r="D94" s="68">
        <v>0.64700000000000002</v>
      </c>
      <c r="E94" s="69">
        <f>SUM(E76:E93)</f>
        <v>0</v>
      </c>
      <c r="F94" s="70">
        <f>SUM(F76:F93)</f>
        <v>0</v>
      </c>
    </row>
    <row r="96" spans="1:8">
      <c r="A96" s="87" t="s">
        <v>52</v>
      </c>
      <c r="B96" s="85"/>
      <c r="C96" s="85"/>
      <c r="D96" s="85"/>
      <c r="E96" s="56" t="s">
        <v>53</v>
      </c>
      <c r="F96" s="57" t="s">
        <v>54</v>
      </c>
      <c r="G96" s="57" t="s">
        <v>55</v>
      </c>
      <c r="H96" s="57" t="s">
        <v>56</v>
      </c>
    </row>
    <row r="97" spans="1:8">
      <c r="A97" s="88" t="s">
        <v>57</v>
      </c>
      <c r="B97" s="85"/>
      <c r="C97" s="85"/>
      <c r="D97" s="85"/>
      <c r="E97" s="85"/>
      <c r="F97" s="85"/>
      <c r="G97" s="85"/>
      <c r="H97" s="85"/>
    </row>
    <row r="98" spans="1:8">
      <c r="A98" s="58" t="s">
        <v>8</v>
      </c>
      <c r="B98" s="58" t="s">
        <v>9</v>
      </c>
      <c r="C98" s="58" t="s">
        <v>10</v>
      </c>
      <c r="D98" s="58" t="s">
        <v>11</v>
      </c>
      <c r="E98" s="58" t="s">
        <v>12</v>
      </c>
      <c r="F98" s="58" t="s">
        <v>13</v>
      </c>
      <c r="G98" s="58" t="s">
        <v>14</v>
      </c>
      <c r="H98" s="58" t="s">
        <v>15</v>
      </c>
    </row>
    <row r="99" spans="1:8">
      <c r="A99" s="47" t="s">
        <v>16</v>
      </c>
      <c r="B99" s="59">
        <v>0.92</v>
      </c>
      <c r="C99" s="60">
        <v>5</v>
      </c>
      <c r="D99" s="61">
        <v>4.5999999999999999E-2</v>
      </c>
      <c r="E99" s="62"/>
      <c r="F99" s="63" t="str">
        <f t="shared" ref="F99:F116" si="4">IF(E99="","",(E99*B99/100))</f>
        <v/>
      </c>
      <c r="G99" s="62"/>
      <c r="H99" s="64"/>
    </row>
    <row r="100" spans="1:8">
      <c r="A100" s="47" t="s">
        <v>17</v>
      </c>
      <c r="B100" s="59">
        <v>0.88</v>
      </c>
      <c r="C100" s="60">
        <v>3</v>
      </c>
      <c r="D100" s="61">
        <v>2.5999999999999999E-2</v>
      </c>
      <c r="E100" s="62"/>
      <c r="F100" s="63" t="str">
        <f t="shared" si="4"/>
        <v/>
      </c>
      <c r="G100" s="62"/>
      <c r="H100" s="64"/>
    </row>
    <row r="101" spans="1:8">
      <c r="A101" s="47" t="s">
        <v>18</v>
      </c>
      <c r="B101" s="59">
        <v>0.85</v>
      </c>
      <c r="C101" s="60">
        <v>5</v>
      </c>
      <c r="D101" s="61">
        <v>4.2999999999999997E-2</v>
      </c>
      <c r="E101" s="62"/>
      <c r="F101" s="63" t="str">
        <f t="shared" si="4"/>
        <v/>
      </c>
      <c r="G101" s="62"/>
      <c r="H101" s="64"/>
    </row>
    <row r="102" spans="1:8">
      <c r="A102" s="47" t="s">
        <v>19</v>
      </c>
      <c r="B102" s="59">
        <v>0.82</v>
      </c>
      <c r="C102" s="60">
        <v>3</v>
      </c>
      <c r="D102" s="61">
        <v>2.5000000000000001E-2</v>
      </c>
      <c r="E102" s="62"/>
      <c r="F102" s="63" t="str">
        <f t="shared" si="4"/>
        <v/>
      </c>
      <c r="G102" s="62"/>
      <c r="H102" s="64"/>
    </row>
    <row r="103" spans="1:8">
      <c r="A103" s="47" t="s">
        <v>20</v>
      </c>
      <c r="B103" s="59">
        <v>0.8</v>
      </c>
      <c r="C103" s="60">
        <v>5</v>
      </c>
      <c r="D103" s="61">
        <v>0.04</v>
      </c>
      <c r="E103" s="62"/>
      <c r="F103" s="63" t="str">
        <f t="shared" si="4"/>
        <v/>
      </c>
      <c r="G103" s="62"/>
      <c r="H103" s="64"/>
    </row>
    <row r="104" spans="1:8">
      <c r="A104" s="47" t="s">
        <v>21</v>
      </c>
      <c r="B104" s="59">
        <v>0.78</v>
      </c>
      <c r="C104" s="60">
        <v>5</v>
      </c>
      <c r="D104" s="61">
        <v>3.9E-2</v>
      </c>
      <c r="E104" s="62"/>
      <c r="F104" s="63" t="str">
        <f t="shared" si="4"/>
        <v/>
      </c>
      <c r="G104" s="62"/>
      <c r="H104" s="64"/>
    </row>
    <row r="105" spans="1:8">
      <c r="A105" s="47" t="s">
        <v>22</v>
      </c>
      <c r="B105" s="59">
        <v>0.7</v>
      </c>
      <c r="C105" s="60">
        <v>5</v>
      </c>
      <c r="D105" s="61">
        <v>3.5000000000000003E-2</v>
      </c>
      <c r="E105" s="62"/>
      <c r="F105" s="63" t="str">
        <f t="shared" si="4"/>
        <v/>
      </c>
      <c r="G105" s="62"/>
      <c r="H105" s="64"/>
    </row>
    <row r="106" spans="1:8">
      <c r="A106" s="47" t="s">
        <v>23</v>
      </c>
      <c r="B106" s="59">
        <v>0.65</v>
      </c>
      <c r="C106" s="60">
        <v>3</v>
      </c>
      <c r="D106" s="61">
        <v>0.02</v>
      </c>
      <c r="E106" s="62"/>
      <c r="F106" s="63" t="str">
        <f t="shared" si="4"/>
        <v/>
      </c>
      <c r="G106" s="62"/>
      <c r="H106" s="64"/>
    </row>
    <row r="107" spans="1:8">
      <c r="A107" s="47" t="s">
        <v>24</v>
      </c>
      <c r="B107" s="59">
        <v>0.75</v>
      </c>
      <c r="C107" s="65">
        <v>0</v>
      </c>
      <c r="D107" s="61">
        <v>0</v>
      </c>
      <c r="E107" s="62"/>
      <c r="F107" s="63" t="str">
        <f t="shared" si="4"/>
        <v/>
      </c>
      <c r="G107" s="62"/>
      <c r="H107" s="64"/>
    </row>
    <row r="108" spans="1:8">
      <c r="A108" s="47" t="s">
        <v>25</v>
      </c>
      <c r="B108" s="59">
        <v>0.55000000000000004</v>
      </c>
      <c r="C108" s="60">
        <v>20</v>
      </c>
      <c r="D108" s="61">
        <v>0.11</v>
      </c>
      <c r="E108" s="62"/>
      <c r="F108" s="63" t="str">
        <f t="shared" si="4"/>
        <v/>
      </c>
      <c r="G108" s="62"/>
      <c r="H108" s="64"/>
    </row>
    <row r="109" spans="1:8">
      <c r="A109" s="47" t="s">
        <v>26</v>
      </c>
      <c r="B109" s="59">
        <v>0.5</v>
      </c>
      <c r="C109" s="65">
        <v>0</v>
      </c>
      <c r="D109" s="61">
        <v>0</v>
      </c>
      <c r="E109" s="62"/>
      <c r="F109" s="63" t="str">
        <f t="shared" si="4"/>
        <v/>
      </c>
      <c r="G109" s="62"/>
      <c r="H109" s="64"/>
    </row>
    <row r="110" spans="1:8">
      <c r="A110" s="47" t="s">
        <v>27</v>
      </c>
      <c r="B110" s="59">
        <v>0.35</v>
      </c>
      <c r="C110" s="60">
        <v>5</v>
      </c>
      <c r="D110" s="61">
        <v>1.7999999999999999E-2</v>
      </c>
      <c r="E110" s="62"/>
      <c r="F110" s="63" t="str">
        <f t="shared" si="4"/>
        <v/>
      </c>
      <c r="G110" s="62"/>
      <c r="H110" s="64"/>
    </row>
    <row r="111" spans="1:8">
      <c r="A111" s="47" t="s">
        <v>28</v>
      </c>
      <c r="B111" s="59">
        <v>0.25</v>
      </c>
      <c r="C111" s="60">
        <v>2</v>
      </c>
      <c r="D111" s="61">
        <v>5.0000000000000001E-3</v>
      </c>
      <c r="E111" s="62"/>
      <c r="F111" s="63" t="str">
        <f t="shared" si="4"/>
        <v/>
      </c>
      <c r="G111" s="62"/>
      <c r="H111" s="64"/>
    </row>
    <row r="112" spans="1:8">
      <c r="A112" s="47" t="s">
        <v>29</v>
      </c>
      <c r="B112" s="59">
        <v>0.35</v>
      </c>
      <c r="C112" s="60">
        <v>3</v>
      </c>
      <c r="D112" s="61">
        <v>0.01</v>
      </c>
      <c r="E112" s="62"/>
      <c r="F112" s="63" t="str">
        <f t="shared" si="4"/>
        <v/>
      </c>
      <c r="G112" s="62"/>
      <c r="H112" s="64"/>
    </row>
    <row r="113" spans="1:8">
      <c r="A113" s="47" t="s">
        <v>30</v>
      </c>
      <c r="B113" s="59">
        <v>0.2</v>
      </c>
      <c r="C113" s="60">
        <v>5</v>
      </c>
      <c r="D113" s="61">
        <v>0.01</v>
      </c>
      <c r="E113" s="62"/>
      <c r="F113" s="63" t="str">
        <f t="shared" si="4"/>
        <v/>
      </c>
      <c r="G113" s="62"/>
      <c r="H113" s="64"/>
    </row>
    <row r="114" spans="1:8">
      <c r="A114" s="47" t="s">
        <v>31</v>
      </c>
      <c r="B114" s="59">
        <v>0.08</v>
      </c>
      <c r="C114" s="65">
        <v>0</v>
      </c>
      <c r="D114" s="61">
        <v>0</v>
      </c>
      <c r="E114" s="62"/>
      <c r="F114" s="63" t="str">
        <f t="shared" si="4"/>
        <v/>
      </c>
      <c r="G114" s="62"/>
      <c r="H114" s="64"/>
    </row>
    <row r="115" spans="1:8">
      <c r="A115" s="47" t="s">
        <v>32</v>
      </c>
      <c r="B115" s="59">
        <v>0.1</v>
      </c>
      <c r="C115" s="60">
        <v>28</v>
      </c>
      <c r="D115" s="61">
        <v>2.8000000000000001E-2</v>
      </c>
      <c r="E115" s="62"/>
      <c r="F115" s="63" t="str">
        <f t="shared" si="4"/>
        <v/>
      </c>
      <c r="G115" s="62"/>
      <c r="H115" s="64"/>
    </row>
    <row r="116" spans="1:8">
      <c r="A116" s="47" t="s">
        <v>33</v>
      </c>
      <c r="B116" s="59">
        <v>0.05</v>
      </c>
      <c r="C116" s="60">
        <v>3</v>
      </c>
      <c r="D116" s="61">
        <v>2E-3</v>
      </c>
      <c r="E116" s="62"/>
      <c r="F116" s="63" t="str">
        <f t="shared" si="4"/>
        <v/>
      </c>
      <c r="G116" s="62"/>
      <c r="H116" s="64"/>
    </row>
    <row r="117" spans="1:8">
      <c r="A117" s="66" t="s">
        <v>34</v>
      </c>
      <c r="C117" s="67">
        <v>100</v>
      </c>
      <c r="D117" s="68">
        <v>0.45600000000000002</v>
      </c>
      <c r="E117" s="69">
        <f>SUM(E99:E116)</f>
        <v>0</v>
      </c>
      <c r="F117" s="70">
        <f>SUM(F99:F116)</f>
        <v>0</v>
      </c>
    </row>
    <row r="119" spans="1:8">
      <c r="A119" s="87" t="s">
        <v>58</v>
      </c>
      <c r="B119" s="85"/>
      <c r="C119" s="85"/>
      <c r="D119" s="85"/>
      <c r="E119" s="56" t="s">
        <v>59</v>
      </c>
      <c r="F119" s="57" t="s">
        <v>60</v>
      </c>
      <c r="G119" s="57" t="s">
        <v>61</v>
      </c>
      <c r="H119" s="57" t="s">
        <v>62</v>
      </c>
    </row>
    <row r="120" spans="1:8">
      <c r="A120" s="88" t="s">
        <v>63</v>
      </c>
      <c r="B120" s="85"/>
      <c r="C120" s="85"/>
      <c r="D120" s="85"/>
      <c r="E120" s="85"/>
      <c r="F120" s="85"/>
      <c r="G120" s="85"/>
      <c r="H120" s="85"/>
    </row>
    <row r="121" spans="1:8">
      <c r="A121" s="58" t="s">
        <v>8</v>
      </c>
      <c r="B121" s="58" t="s">
        <v>9</v>
      </c>
      <c r="C121" s="58" t="s">
        <v>10</v>
      </c>
      <c r="D121" s="58" t="s">
        <v>11</v>
      </c>
      <c r="E121" s="58" t="s">
        <v>12</v>
      </c>
      <c r="F121" s="58" t="s">
        <v>13</v>
      </c>
      <c r="G121" s="58" t="s">
        <v>14</v>
      </c>
      <c r="H121" s="58" t="s">
        <v>15</v>
      </c>
    </row>
    <row r="122" spans="1:8">
      <c r="A122" s="47" t="s">
        <v>16</v>
      </c>
      <c r="B122" s="59">
        <v>0.92</v>
      </c>
      <c r="C122" s="60">
        <v>5</v>
      </c>
      <c r="D122" s="61">
        <v>4.5999999999999999E-2</v>
      </c>
      <c r="E122" s="62"/>
      <c r="F122" s="63" t="str">
        <f t="shared" ref="F122:F139" si="5">IF(E122="","",(E122*B122/100))</f>
        <v/>
      </c>
      <c r="G122" s="62"/>
      <c r="H122" s="64"/>
    </row>
    <row r="123" spans="1:8">
      <c r="A123" s="47" t="s">
        <v>17</v>
      </c>
      <c r="B123" s="59">
        <v>0.88</v>
      </c>
      <c r="C123" s="60">
        <v>3</v>
      </c>
      <c r="D123" s="61">
        <v>2.5999999999999999E-2</v>
      </c>
      <c r="E123" s="62"/>
      <c r="F123" s="63" t="str">
        <f t="shared" si="5"/>
        <v/>
      </c>
      <c r="G123" s="62"/>
      <c r="H123" s="64"/>
    </row>
    <row r="124" spans="1:8">
      <c r="A124" s="47" t="s">
        <v>18</v>
      </c>
      <c r="B124" s="59">
        <v>0.85</v>
      </c>
      <c r="C124" s="60">
        <v>8</v>
      </c>
      <c r="D124" s="61">
        <v>6.8000000000000005E-2</v>
      </c>
      <c r="E124" s="62"/>
      <c r="F124" s="63" t="str">
        <f t="shared" si="5"/>
        <v/>
      </c>
      <c r="G124" s="62"/>
      <c r="H124" s="64"/>
    </row>
    <row r="125" spans="1:8">
      <c r="A125" s="47" t="s">
        <v>19</v>
      </c>
      <c r="B125" s="59">
        <v>0.82</v>
      </c>
      <c r="C125" s="60">
        <v>3</v>
      </c>
      <c r="D125" s="61">
        <v>2.5000000000000001E-2</v>
      </c>
      <c r="E125" s="62"/>
      <c r="F125" s="63" t="str">
        <f t="shared" si="5"/>
        <v/>
      </c>
      <c r="G125" s="62"/>
      <c r="H125" s="64"/>
    </row>
    <row r="126" spans="1:8">
      <c r="A126" s="47" t="s">
        <v>20</v>
      </c>
      <c r="B126" s="59">
        <v>0.8</v>
      </c>
      <c r="C126" s="60">
        <v>20</v>
      </c>
      <c r="D126" s="61">
        <v>0.16</v>
      </c>
      <c r="E126" s="62"/>
      <c r="F126" s="63" t="str">
        <f t="shared" si="5"/>
        <v/>
      </c>
      <c r="G126" s="62"/>
      <c r="H126" s="64"/>
    </row>
    <row r="127" spans="1:8">
      <c r="A127" s="47" t="s">
        <v>21</v>
      </c>
      <c r="B127" s="59">
        <v>0.78</v>
      </c>
      <c r="C127" s="60">
        <v>8</v>
      </c>
      <c r="D127" s="61">
        <v>6.2E-2</v>
      </c>
      <c r="E127" s="62"/>
      <c r="F127" s="63" t="str">
        <f t="shared" si="5"/>
        <v/>
      </c>
      <c r="G127" s="62"/>
      <c r="H127" s="64"/>
    </row>
    <row r="128" spans="1:8">
      <c r="A128" s="47" t="s">
        <v>22</v>
      </c>
      <c r="B128" s="59">
        <v>0.7</v>
      </c>
      <c r="C128" s="60">
        <v>8</v>
      </c>
      <c r="D128" s="61">
        <v>5.6000000000000001E-2</v>
      </c>
      <c r="E128" s="62"/>
      <c r="F128" s="63" t="str">
        <f t="shared" si="5"/>
        <v/>
      </c>
      <c r="G128" s="62"/>
      <c r="H128" s="64"/>
    </row>
    <row r="129" spans="1:8">
      <c r="A129" s="47" t="s">
        <v>23</v>
      </c>
      <c r="B129" s="59">
        <v>0.65</v>
      </c>
      <c r="C129" s="60">
        <v>5</v>
      </c>
      <c r="D129" s="61">
        <v>3.3000000000000002E-2</v>
      </c>
      <c r="E129" s="62"/>
      <c r="F129" s="63" t="str">
        <f t="shared" si="5"/>
        <v/>
      </c>
      <c r="G129" s="62"/>
      <c r="H129" s="64"/>
    </row>
    <row r="130" spans="1:8">
      <c r="A130" s="47" t="s">
        <v>24</v>
      </c>
      <c r="B130" s="59">
        <v>0.75</v>
      </c>
      <c r="C130" s="65">
        <v>0</v>
      </c>
      <c r="D130" s="61">
        <v>0</v>
      </c>
      <c r="E130" s="62"/>
      <c r="F130" s="63" t="str">
        <f t="shared" si="5"/>
        <v/>
      </c>
      <c r="G130" s="62"/>
      <c r="H130" s="64"/>
    </row>
    <row r="131" spans="1:8">
      <c r="A131" s="47" t="s">
        <v>25</v>
      </c>
      <c r="B131" s="59">
        <v>0.55000000000000004</v>
      </c>
      <c r="C131" s="60">
        <v>12</v>
      </c>
      <c r="D131" s="61">
        <v>6.6000000000000003E-2</v>
      </c>
      <c r="E131" s="62"/>
      <c r="F131" s="63" t="str">
        <f t="shared" si="5"/>
        <v/>
      </c>
      <c r="G131" s="62"/>
      <c r="H131" s="64"/>
    </row>
    <row r="132" spans="1:8">
      <c r="A132" s="47" t="s">
        <v>26</v>
      </c>
      <c r="B132" s="59">
        <v>0.5</v>
      </c>
      <c r="C132" s="65">
        <v>0</v>
      </c>
      <c r="D132" s="61">
        <v>0</v>
      </c>
      <c r="E132" s="62"/>
      <c r="F132" s="63" t="str">
        <f t="shared" si="5"/>
        <v/>
      </c>
      <c r="G132" s="62"/>
      <c r="H132" s="64"/>
    </row>
    <row r="133" spans="1:8">
      <c r="A133" s="47" t="s">
        <v>27</v>
      </c>
      <c r="B133" s="59">
        <v>0.35</v>
      </c>
      <c r="C133" s="60">
        <v>10</v>
      </c>
      <c r="D133" s="61">
        <v>3.5000000000000003E-2</v>
      </c>
      <c r="E133" s="62"/>
      <c r="F133" s="63" t="str">
        <f t="shared" si="5"/>
        <v/>
      </c>
      <c r="G133" s="62"/>
      <c r="H133" s="64"/>
    </row>
    <row r="134" spans="1:8">
      <c r="A134" s="47" t="s">
        <v>28</v>
      </c>
      <c r="B134" s="59">
        <v>0.25</v>
      </c>
      <c r="C134" s="60">
        <v>5</v>
      </c>
      <c r="D134" s="61">
        <v>1.2999999999999999E-2</v>
      </c>
      <c r="E134" s="62"/>
      <c r="F134" s="63" t="str">
        <f t="shared" si="5"/>
        <v/>
      </c>
      <c r="G134" s="62"/>
      <c r="H134" s="64"/>
    </row>
    <row r="135" spans="1:8">
      <c r="A135" s="47" t="s">
        <v>29</v>
      </c>
      <c r="B135" s="59">
        <v>0.35</v>
      </c>
      <c r="C135" s="60">
        <v>2</v>
      </c>
      <c r="D135" s="61">
        <v>7.0000000000000001E-3</v>
      </c>
      <c r="E135" s="62"/>
      <c r="F135" s="63" t="str">
        <f t="shared" si="5"/>
        <v/>
      </c>
      <c r="G135" s="62"/>
      <c r="H135" s="64"/>
    </row>
    <row r="136" spans="1:8">
      <c r="A136" s="47" t="s">
        <v>30</v>
      </c>
      <c r="B136" s="59">
        <v>0.2</v>
      </c>
      <c r="C136" s="60">
        <v>5</v>
      </c>
      <c r="D136" s="61">
        <v>0.01</v>
      </c>
      <c r="E136" s="62"/>
      <c r="F136" s="63" t="str">
        <f t="shared" si="5"/>
        <v/>
      </c>
      <c r="G136" s="62"/>
      <c r="H136" s="64"/>
    </row>
    <row r="137" spans="1:8">
      <c r="A137" s="47" t="s">
        <v>31</v>
      </c>
      <c r="B137" s="59">
        <v>0.08</v>
      </c>
      <c r="C137" s="65">
        <v>0</v>
      </c>
      <c r="D137" s="61">
        <v>0</v>
      </c>
      <c r="E137" s="62"/>
      <c r="F137" s="63" t="str">
        <f t="shared" si="5"/>
        <v/>
      </c>
      <c r="G137" s="62"/>
      <c r="H137" s="64"/>
    </row>
    <row r="138" spans="1:8">
      <c r="A138" s="47" t="s">
        <v>32</v>
      </c>
      <c r="B138" s="59">
        <v>0.1</v>
      </c>
      <c r="C138" s="60">
        <v>4</v>
      </c>
      <c r="D138" s="61">
        <v>4.0000000000000001E-3</v>
      </c>
      <c r="E138" s="62"/>
      <c r="F138" s="63" t="str">
        <f t="shared" si="5"/>
        <v/>
      </c>
      <c r="G138" s="62"/>
      <c r="H138" s="64"/>
    </row>
    <row r="139" spans="1:8">
      <c r="A139" s="47" t="s">
        <v>33</v>
      </c>
      <c r="B139" s="59">
        <v>0.05</v>
      </c>
      <c r="C139" s="60">
        <v>2</v>
      </c>
      <c r="D139" s="61">
        <v>1E-3</v>
      </c>
      <c r="E139" s="62"/>
      <c r="F139" s="63" t="str">
        <f t="shared" si="5"/>
        <v/>
      </c>
      <c r="G139" s="62"/>
      <c r="H139" s="64"/>
    </row>
    <row r="140" spans="1:8">
      <c r="A140" s="66" t="s">
        <v>34</v>
      </c>
      <c r="C140" s="67">
        <v>100</v>
      </c>
      <c r="D140" s="68">
        <v>0.61099999999999999</v>
      </c>
      <c r="E140" s="69">
        <f>SUM(E122:E139)</f>
        <v>0</v>
      </c>
      <c r="F140" s="70">
        <f>SUM(F122:F139)</f>
        <v>0</v>
      </c>
    </row>
    <row r="142" spans="1:8">
      <c r="A142" s="87" t="s">
        <v>64</v>
      </c>
      <c r="B142" s="85"/>
      <c r="C142" s="85"/>
      <c r="D142" s="85"/>
      <c r="E142" s="56" t="s">
        <v>59</v>
      </c>
      <c r="F142" s="57" t="s">
        <v>65</v>
      </c>
      <c r="G142" s="57" t="s">
        <v>66</v>
      </c>
      <c r="H142" s="57" t="s">
        <v>67</v>
      </c>
    </row>
    <row r="143" spans="1:8">
      <c r="A143" s="88" t="s">
        <v>68</v>
      </c>
      <c r="B143" s="85"/>
      <c r="C143" s="85"/>
      <c r="D143" s="85"/>
      <c r="E143" s="85"/>
      <c r="F143" s="85"/>
      <c r="G143" s="85"/>
      <c r="H143" s="85"/>
    </row>
    <row r="144" spans="1:8">
      <c r="A144" s="58" t="s">
        <v>8</v>
      </c>
      <c r="B144" s="58" t="s">
        <v>9</v>
      </c>
      <c r="C144" s="58" t="s">
        <v>10</v>
      </c>
      <c r="D144" s="58" t="s">
        <v>11</v>
      </c>
      <c r="E144" s="58" t="s">
        <v>12</v>
      </c>
      <c r="F144" s="58" t="s">
        <v>13</v>
      </c>
      <c r="G144" s="58" t="s">
        <v>14</v>
      </c>
      <c r="H144" s="58" t="s">
        <v>15</v>
      </c>
    </row>
    <row r="145" spans="1:8">
      <c r="A145" s="47" t="s">
        <v>16</v>
      </c>
      <c r="B145" s="59">
        <v>0.92</v>
      </c>
      <c r="C145" s="60">
        <v>3</v>
      </c>
      <c r="D145" s="61">
        <v>2.8000000000000001E-2</v>
      </c>
      <c r="E145" s="62"/>
      <c r="F145" s="63" t="str">
        <f t="shared" ref="F145:F162" si="6">IF(E145="","",(E145*B145/100))</f>
        <v/>
      </c>
      <c r="G145" s="62"/>
      <c r="H145" s="64"/>
    </row>
    <row r="146" spans="1:8">
      <c r="A146" s="47" t="s">
        <v>17</v>
      </c>
      <c r="B146" s="59">
        <v>0.88</v>
      </c>
      <c r="C146" s="60">
        <v>3</v>
      </c>
      <c r="D146" s="61">
        <v>2.5999999999999999E-2</v>
      </c>
      <c r="E146" s="62"/>
      <c r="F146" s="63" t="str">
        <f t="shared" si="6"/>
        <v/>
      </c>
      <c r="G146" s="62"/>
      <c r="H146" s="64"/>
    </row>
    <row r="147" spans="1:8">
      <c r="A147" s="47" t="s">
        <v>18</v>
      </c>
      <c r="B147" s="59">
        <v>0.85</v>
      </c>
      <c r="C147" s="60">
        <v>5</v>
      </c>
      <c r="D147" s="61">
        <v>4.2999999999999997E-2</v>
      </c>
      <c r="E147" s="62"/>
      <c r="F147" s="63" t="str">
        <f t="shared" si="6"/>
        <v/>
      </c>
      <c r="G147" s="62"/>
      <c r="H147" s="64"/>
    </row>
    <row r="148" spans="1:8">
      <c r="A148" s="47" t="s">
        <v>19</v>
      </c>
      <c r="B148" s="59">
        <v>0.82</v>
      </c>
      <c r="C148" s="60">
        <v>5</v>
      </c>
      <c r="D148" s="61">
        <v>4.1000000000000002E-2</v>
      </c>
      <c r="E148" s="62"/>
      <c r="F148" s="63" t="str">
        <f t="shared" si="6"/>
        <v/>
      </c>
      <c r="G148" s="62"/>
      <c r="H148" s="64"/>
    </row>
    <row r="149" spans="1:8">
      <c r="A149" s="47" t="s">
        <v>20</v>
      </c>
      <c r="B149" s="59">
        <v>0.8</v>
      </c>
      <c r="C149" s="60">
        <v>2</v>
      </c>
      <c r="D149" s="61">
        <v>1.6E-2</v>
      </c>
      <c r="E149" s="62"/>
      <c r="F149" s="63" t="str">
        <f t="shared" si="6"/>
        <v/>
      </c>
      <c r="G149" s="62"/>
      <c r="H149" s="64"/>
    </row>
    <row r="150" spans="1:8">
      <c r="A150" s="47" t="s">
        <v>21</v>
      </c>
      <c r="B150" s="59">
        <v>0.78</v>
      </c>
      <c r="C150" s="60">
        <v>3</v>
      </c>
      <c r="D150" s="61">
        <v>2.3E-2</v>
      </c>
      <c r="E150" s="62"/>
      <c r="F150" s="63" t="str">
        <f t="shared" si="6"/>
        <v/>
      </c>
      <c r="G150" s="62"/>
      <c r="H150" s="64"/>
    </row>
    <row r="151" spans="1:8">
      <c r="A151" s="47" t="s">
        <v>22</v>
      </c>
      <c r="B151" s="59">
        <v>0.7</v>
      </c>
      <c r="C151" s="60">
        <v>8</v>
      </c>
      <c r="D151" s="61">
        <v>5.6000000000000001E-2</v>
      </c>
      <c r="E151" s="62"/>
      <c r="F151" s="63" t="str">
        <f t="shared" si="6"/>
        <v/>
      </c>
      <c r="G151" s="62"/>
      <c r="H151" s="64"/>
    </row>
    <row r="152" spans="1:8">
      <c r="A152" s="47" t="s">
        <v>23</v>
      </c>
      <c r="B152" s="59">
        <v>0.65</v>
      </c>
      <c r="C152" s="60">
        <v>5</v>
      </c>
      <c r="D152" s="61">
        <v>3.3000000000000002E-2</v>
      </c>
      <c r="E152" s="62"/>
      <c r="F152" s="63" t="str">
        <f t="shared" si="6"/>
        <v/>
      </c>
      <c r="G152" s="62"/>
      <c r="H152" s="64"/>
    </row>
    <row r="153" spans="1:8">
      <c r="A153" s="47" t="s">
        <v>24</v>
      </c>
      <c r="B153" s="59">
        <v>0.75</v>
      </c>
      <c r="C153" s="65">
        <v>0</v>
      </c>
      <c r="D153" s="61">
        <v>0</v>
      </c>
      <c r="E153" s="62"/>
      <c r="F153" s="63" t="str">
        <f t="shared" si="6"/>
        <v/>
      </c>
      <c r="G153" s="62"/>
      <c r="H153" s="64"/>
    </row>
    <row r="154" spans="1:8">
      <c r="A154" s="47" t="s">
        <v>25</v>
      </c>
      <c r="B154" s="59">
        <v>0.55000000000000004</v>
      </c>
      <c r="C154" s="60">
        <v>5</v>
      </c>
      <c r="D154" s="61">
        <v>2.8000000000000001E-2</v>
      </c>
      <c r="E154" s="62"/>
      <c r="F154" s="63" t="str">
        <f t="shared" si="6"/>
        <v/>
      </c>
      <c r="G154" s="62"/>
      <c r="H154" s="64"/>
    </row>
    <row r="155" spans="1:8">
      <c r="A155" s="47" t="s">
        <v>26</v>
      </c>
      <c r="B155" s="59">
        <v>0.5</v>
      </c>
      <c r="C155" s="60">
        <v>2</v>
      </c>
      <c r="D155" s="61">
        <v>0.01</v>
      </c>
      <c r="E155" s="62"/>
      <c r="F155" s="63" t="str">
        <f t="shared" si="6"/>
        <v/>
      </c>
      <c r="G155" s="62"/>
      <c r="H155" s="64"/>
    </row>
    <row r="156" spans="1:8">
      <c r="A156" s="47" t="s">
        <v>27</v>
      </c>
      <c r="B156" s="59">
        <v>0.35</v>
      </c>
      <c r="C156" s="60">
        <v>3</v>
      </c>
      <c r="D156" s="61">
        <v>0.01</v>
      </c>
      <c r="E156" s="62"/>
      <c r="F156" s="63" t="str">
        <f t="shared" si="6"/>
        <v/>
      </c>
      <c r="G156" s="62"/>
      <c r="H156" s="64"/>
    </row>
    <row r="157" spans="1:8">
      <c r="A157" s="47" t="s">
        <v>28</v>
      </c>
      <c r="B157" s="59">
        <v>0.25</v>
      </c>
      <c r="C157" s="60">
        <v>2</v>
      </c>
      <c r="D157" s="61">
        <v>5.0000000000000001E-3</v>
      </c>
      <c r="E157" s="62"/>
      <c r="F157" s="63" t="str">
        <f t="shared" si="6"/>
        <v/>
      </c>
      <c r="G157" s="62"/>
      <c r="H157" s="64"/>
    </row>
    <row r="158" spans="1:8">
      <c r="A158" s="47" t="s">
        <v>29</v>
      </c>
      <c r="B158" s="59">
        <v>0.35</v>
      </c>
      <c r="C158" s="60">
        <v>35</v>
      </c>
      <c r="D158" s="61">
        <v>0.122</v>
      </c>
      <c r="E158" s="62"/>
      <c r="F158" s="63" t="str">
        <f t="shared" si="6"/>
        <v/>
      </c>
      <c r="G158" s="62"/>
      <c r="H158" s="64"/>
    </row>
    <row r="159" spans="1:8">
      <c r="A159" s="47" t="s">
        <v>30</v>
      </c>
      <c r="B159" s="59">
        <v>0.2</v>
      </c>
      <c r="C159" s="60">
        <v>5</v>
      </c>
      <c r="D159" s="61">
        <v>0.01</v>
      </c>
      <c r="E159" s="62"/>
      <c r="F159" s="63" t="str">
        <f t="shared" si="6"/>
        <v/>
      </c>
      <c r="G159" s="62"/>
      <c r="H159" s="64"/>
    </row>
    <row r="160" spans="1:8">
      <c r="A160" s="47" t="s">
        <v>31</v>
      </c>
      <c r="B160" s="59">
        <v>0.08</v>
      </c>
      <c r="C160" s="65">
        <v>0</v>
      </c>
      <c r="D160" s="61">
        <v>0</v>
      </c>
      <c r="E160" s="62"/>
      <c r="F160" s="63" t="str">
        <f t="shared" si="6"/>
        <v/>
      </c>
      <c r="G160" s="62"/>
      <c r="H160" s="64"/>
    </row>
    <row r="161" spans="1:8">
      <c r="A161" s="47" t="s">
        <v>32</v>
      </c>
      <c r="B161" s="59">
        <v>0.1</v>
      </c>
      <c r="C161" s="60">
        <v>8</v>
      </c>
      <c r="D161" s="61">
        <v>8.0000000000000002E-3</v>
      </c>
      <c r="E161" s="62"/>
      <c r="F161" s="63" t="str">
        <f t="shared" si="6"/>
        <v/>
      </c>
      <c r="G161" s="62"/>
      <c r="H161" s="64"/>
    </row>
    <row r="162" spans="1:8">
      <c r="A162" s="47" t="s">
        <v>33</v>
      </c>
      <c r="B162" s="59">
        <v>0.05</v>
      </c>
      <c r="C162" s="60">
        <v>6</v>
      </c>
      <c r="D162" s="61">
        <v>3.0000000000000001E-3</v>
      </c>
      <c r="E162" s="62"/>
      <c r="F162" s="63" t="str">
        <f t="shared" si="6"/>
        <v/>
      </c>
      <c r="G162" s="62"/>
      <c r="H162" s="64"/>
    </row>
    <row r="163" spans="1:8">
      <c r="A163" s="66" t="s">
        <v>34</v>
      </c>
      <c r="C163" s="67">
        <v>100</v>
      </c>
      <c r="D163" s="68">
        <v>0.46200000000000002</v>
      </c>
      <c r="E163" s="69">
        <f>SUM(E145:E162)</f>
        <v>0</v>
      </c>
      <c r="F163" s="70">
        <f>SUM(F145:F162)</f>
        <v>0</v>
      </c>
    </row>
    <row r="165" spans="1:8">
      <c r="A165" s="87" t="s">
        <v>69</v>
      </c>
      <c r="B165" s="85"/>
      <c r="C165" s="85"/>
      <c r="D165" s="85"/>
      <c r="E165" s="56" t="s">
        <v>70</v>
      </c>
      <c r="F165" s="57" t="s">
        <v>71</v>
      </c>
      <c r="G165" s="57" t="s">
        <v>72</v>
      </c>
      <c r="H165" s="57" t="s">
        <v>73</v>
      </c>
    </row>
    <row r="166" spans="1:8">
      <c r="A166" s="88" t="s">
        <v>74</v>
      </c>
      <c r="B166" s="85"/>
      <c r="C166" s="85"/>
      <c r="D166" s="85"/>
      <c r="E166" s="85"/>
      <c r="F166" s="85"/>
      <c r="G166" s="85"/>
      <c r="H166" s="85"/>
    </row>
    <row r="167" spans="1:8">
      <c r="A167" s="58" t="s">
        <v>8</v>
      </c>
      <c r="B167" s="58" t="s">
        <v>9</v>
      </c>
      <c r="C167" s="58" t="s">
        <v>10</v>
      </c>
      <c r="D167" s="58" t="s">
        <v>11</v>
      </c>
      <c r="E167" s="58" t="s">
        <v>12</v>
      </c>
      <c r="F167" s="58" t="s">
        <v>13</v>
      </c>
      <c r="G167" s="58" t="s">
        <v>14</v>
      </c>
      <c r="H167" s="58" t="s">
        <v>15</v>
      </c>
    </row>
    <row r="168" spans="1:8">
      <c r="A168" s="47" t="s">
        <v>16</v>
      </c>
      <c r="B168" s="59">
        <v>0.92</v>
      </c>
      <c r="C168" s="60">
        <v>15</v>
      </c>
      <c r="D168" s="61">
        <v>0.13800000000000001</v>
      </c>
      <c r="E168" s="62"/>
      <c r="F168" s="63" t="str">
        <f t="shared" ref="F168:F185" si="7">IF(E168="","",(E168*B168/100))</f>
        <v/>
      </c>
      <c r="G168" s="62"/>
      <c r="H168" s="64"/>
    </row>
    <row r="169" spans="1:8">
      <c r="A169" s="47" t="s">
        <v>17</v>
      </c>
      <c r="B169" s="59">
        <v>0.88</v>
      </c>
      <c r="C169" s="60">
        <v>10</v>
      </c>
      <c r="D169" s="61">
        <v>8.7999999999999995E-2</v>
      </c>
      <c r="E169" s="62"/>
      <c r="F169" s="63" t="str">
        <f t="shared" si="7"/>
        <v/>
      </c>
      <c r="G169" s="62"/>
      <c r="H169" s="64"/>
    </row>
    <row r="170" spans="1:8">
      <c r="A170" s="47" t="s">
        <v>18</v>
      </c>
      <c r="B170" s="59">
        <v>0.85</v>
      </c>
      <c r="C170" s="60">
        <v>5</v>
      </c>
      <c r="D170" s="61">
        <v>4.2999999999999997E-2</v>
      </c>
      <c r="E170" s="62"/>
      <c r="F170" s="63" t="str">
        <f t="shared" si="7"/>
        <v/>
      </c>
      <c r="G170" s="62"/>
      <c r="H170" s="64"/>
    </row>
    <row r="171" spans="1:8">
      <c r="A171" s="47" t="s">
        <v>19</v>
      </c>
      <c r="B171" s="59">
        <v>0.82</v>
      </c>
      <c r="C171" s="60">
        <v>5</v>
      </c>
      <c r="D171" s="61">
        <v>4.1000000000000002E-2</v>
      </c>
      <c r="E171" s="62"/>
      <c r="F171" s="63" t="str">
        <f t="shared" si="7"/>
        <v/>
      </c>
      <c r="G171" s="62"/>
      <c r="H171" s="64"/>
    </row>
    <row r="172" spans="1:8">
      <c r="A172" s="47" t="s">
        <v>20</v>
      </c>
      <c r="B172" s="59">
        <v>0.8</v>
      </c>
      <c r="C172" s="60">
        <v>5</v>
      </c>
      <c r="D172" s="61">
        <v>0.04</v>
      </c>
      <c r="E172" s="62"/>
      <c r="F172" s="63" t="str">
        <f t="shared" si="7"/>
        <v/>
      </c>
      <c r="G172" s="62"/>
      <c r="H172" s="64"/>
    </row>
    <row r="173" spans="1:8">
      <c r="A173" s="47" t="s">
        <v>21</v>
      </c>
      <c r="B173" s="59">
        <v>0.78</v>
      </c>
      <c r="C173" s="60">
        <v>10</v>
      </c>
      <c r="D173" s="61">
        <v>7.8E-2</v>
      </c>
      <c r="E173" s="62"/>
      <c r="F173" s="63" t="str">
        <f t="shared" si="7"/>
        <v/>
      </c>
      <c r="G173" s="62"/>
      <c r="H173" s="64"/>
    </row>
    <row r="174" spans="1:8">
      <c r="A174" s="47" t="s">
        <v>22</v>
      </c>
      <c r="B174" s="59">
        <v>0.7</v>
      </c>
      <c r="C174" s="60">
        <v>5</v>
      </c>
      <c r="D174" s="61">
        <v>3.5000000000000003E-2</v>
      </c>
      <c r="E174" s="62"/>
      <c r="F174" s="63" t="str">
        <f t="shared" si="7"/>
        <v/>
      </c>
      <c r="G174" s="62"/>
      <c r="H174" s="64"/>
    </row>
    <row r="175" spans="1:8">
      <c r="A175" s="47" t="s">
        <v>23</v>
      </c>
      <c r="B175" s="59">
        <v>0.65</v>
      </c>
      <c r="C175" s="60">
        <v>8</v>
      </c>
      <c r="D175" s="61">
        <v>5.1999999999999998E-2</v>
      </c>
      <c r="E175" s="62"/>
      <c r="F175" s="63" t="str">
        <f t="shared" si="7"/>
        <v/>
      </c>
      <c r="G175" s="62"/>
      <c r="H175" s="64"/>
    </row>
    <row r="176" spans="1:8">
      <c r="A176" s="47" t="s">
        <v>24</v>
      </c>
      <c r="B176" s="59">
        <v>0.75</v>
      </c>
      <c r="C176" s="65">
        <v>0</v>
      </c>
      <c r="D176" s="61">
        <v>0</v>
      </c>
      <c r="E176" s="62"/>
      <c r="F176" s="63" t="str">
        <f t="shared" si="7"/>
        <v/>
      </c>
      <c r="G176" s="62"/>
      <c r="H176" s="64"/>
    </row>
    <row r="177" spans="1:8">
      <c r="A177" s="47" t="s">
        <v>25</v>
      </c>
      <c r="B177" s="59">
        <v>0.55000000000000004</v>
      </c>
      <c r="C177" s="60">
        <v>2</v>
      </c>
      <c r="D177" s="61">
        <v>1.0999999999999999E-2</v>
      </c>
      <c r="E177" s="62"/>
      <c r="F177" s="63" t="str">
        <f t="shared" si="7"/>
        <v/>
      </c>
      <c r="G177" s="62"/>
      <c r="H177" s="64"/>
    </row>
    <row r="178" spans="1:8">
      <c r="A178" s="47" t="s">
        <v>26</v>
      </c>
      <c r="B178" s="59">
        <v>0.5</v>
      </c>
      <c r="C178" s="65">
        <v>0</v>
      </c>
      <c r="D178" s="61">
        <v>0</v>
      </c>
      <c r="E178" s="62"/>
      <c r="F178" s="63" t="str">
        <f t="shared" si="7"/>
        <v/>
      </c>
      <c r="G178" s="62"/>
      <c r="H178" s="64"/>
    </row>
    <row r="179" spans="1:8">
      <c r="A179" s="47" t="s">
        <v>27</v>
      </c>
      <c r="B179" s="59">
        <v>0.35</v>
      </c>
      <c r="C179" s="60">
        <v>3</v>
      </c>
      <c r="D179" s="61">
        <v>0.01</v>
      </c>
      <c r="E179" s="62"/>
      <c r="F179" s="63" t="str">
        <f t="shared" si="7"/>
        <v/>
      </c>
      <c r="G179" s="62"/>
      <c r="H179" s="64"/>
    </row>
    <row r="180" spans="1:8">
      <c r="A180" s="47" t="s">
        <v>28</v>
      </c>
      <c r="B180" s="59">
        <v>0.25</v>
      </c>
      <c r="C180" s="60">
        <v>1</v>
      </c>
      <c r="D180" s="61">
        <v>3.0000000000000001E-3</v>
      </c>
      <c r="E180" s="62"/>
      <c r="F180" s="63" t="str">
        <f t="shared" si="7"/>
        <v/>
      </c>
      <c r="G180" s="62"/>
      <c r="H180" s="64"/>
    </row>
    <row r="181" spans="1:8">
      <c r="A181" s="47" t="s">
        <v>29</v>
      </c>
      <c r="B181" s="59">
        <v>0.35</v>
      </c>
      <c r="C181" s="60">
        <v>2</v>
      </c>
      <c r="D181" s="61">
        <v>7.0000000000000001E-3</v>
      </c>
      <c r="E181" s="62"/>
      <c r="F181" s="63" t="str">
        <f t="shared" si="7"/>
        <v/>
      </c>
      <c r="G181" s="62"/>
      <c r="H181" s="64"/>
    </row>
    <row r="182" spans="1:8">
      <c r="A182" s="47" t="s">
        <v>30</v>
      </c>
      <c r="B182" s="59">
        <v>0.2</v>
      </c>
      <c r="C182" s="60">
        <v>5</v>
      </c>
      <c r="D182" s="61">
        <v>0.01</v>
      </c>
      <c r="E182" s="62"/>
      <c r="F182" s="63" t="str">
        <f t="shared" si="7"/>
        <v/>
      </c>
      <c r="G182" s="62"/>
      <c r="H182" s="64"/>
    </row>
    <row r="183" spans="1:8">
      <c r="A183" s="47" t="s">
        <v>31</v>
      </c>
      <c r="B183" s="59">
        <v>0.08</v>
      </c>
      <c r="C183" s="65">
        <v>0</v>
      </c>
      <c r="D183" s="61">
        <v>0</v>
      </c>
      <c r="E183" s="62"/>
      <c r="F183" s="63" t="str">
        <f t="shared" si="7"/>
        <v/>
      </c>
      <c r="G183" s="62"/>
      <c r="H183" s="64"/>
    </row>
    <row r="184" spans="1:8">
      <c r="A184" s="47" t="s">
        <v>32</v>
      </c>
      <c r="B184" s="59">
        <v>0.1</v>
      </c>
      <c r="C184" s="60">
        <v>15</v>
      </c>
      <c r="D184" s="61">
        <v>1.4999999999999999E-2</v>
      </c>
      <c r="E184" s="62"/>
      <c r="F184" s="63" t="str">
        <f t="shared" si="7"/>
        <v/>
      </c>
      <c r="G184" s="62"/>
      <c r="H184" s="64"/>
    </row>
    <row r="185" spans="1:8">
      <c r="A185" s="47" t="s">
        <v>33</v>
      </c>
      <c r="B185" s="59">
        <v>0.05</v>
      </c>
      <c r="C185" s="60">
        <v>9</v>
      </c>
      <c r="D185" s="61">
        <v>5.0000000000000001E-3</v>
      </c>
      <c r="E185" s="62"/>
      <c r="F185" s="63" t="str">
        <f t="shared" si="7"/>
        <v/>
      </c>
      <c r="G185" s="62"/>
      <c r="H185" s="64"/>
    </row>
    <row r="186" spans="1:8">
      <c r="A186" s="66" t="s">
        <v>34</v>
      </c>
      <c r="C186" s="67">
        <v>100</v>
      </c>
      <c r="D186" s="68">
        <v>0.57499999999999996</v>
      </c>
      <c r="E186" s="69">
        <f>SUM(E168:E185)</f>
        <v>0</v>
      </c>
      <c r="F186" s="70">
        <f>SUM(F168:F185)</f>
        <v>0</v>
      </c>
    </row>
    <row r="188" spans="1:8">
      <c r="A188" s="87" t="s">
        <v>75</v>
      </c>
      <c r="B188" s="85"/>
      <c r="C188" s="85"/>
      <c r="D188" s="85"/>
      <c r="E188" s="56" t="s">
        <v>70</v>
      </c>
      <c r="F188" s="57" t="s">
        <v>76</v>
      </c>
      <c r="G188" s="57" t="s">
        <v>77</v>
      </c>
      <c r="H188" s="57" t="s">
        <v>78</v>
      </c>
    </row>
    <row r="189" spans="1:8">
      <c r="A189" s="88" t="s">
        <v>79</v>
      </c>
      <c r="B189" s="85"/>
      <c r="C189" s="85"/>
      <c r="D189" s="85"/>
      <c r="E189" s="85"/>
      <c r="F189" s="85"/>
      <c r="G189" s="85"/>
      <c r="H189" s="85"/>
    </row>
    <row r="190" spans="1:8">
      <c r="A190" s="58" t="s">
        <v>8</v>
      </c>
      <c r="B190" s="58" t="s">
        <v>9</v>
      </c>
      <c r="C190" s="58" t="s">
        <v>10</v>
      </c>
      <c r="D190" s="58" t="s">
        <v>11</v>
      </c>
      <c r="E190" s="58" t="s">
        <v>12</v>
      </c>
      <c r="F190" s="58" t="s">
        <v>13</v>
      </c>
      <c r="G190" s="58" t="s">
        <v>14</v>
      </c>
      <c r="H190" s="58" t="s">
        <v>15</v>
      </c>
    </row>
    <row r="191" spans="1:8">
      <c r="A191" s="47" t="s">
        <v>16</v>
      </c>
      <c r="B191" s="59">
        <v>0.92</v>
      </c>
      <c r="C191" s="60">
        <v>25</v>
      </c>
      <c r="D191" s="61">
        <v>0.23</v>
      </c>
      <c r="E191" s="62"/>
      <c r="F191" s="63" t="str">
        <f t="shared" ref="F191:F208" si="8">IF(E191="","",(E191*B191/100))</f>
        <v/>
      </c>
      <c r="G191" s="62"/>
      <c r="H191" s="64"/>
    </row>
    <row r="192" spans="1:8">
      <c r="A192" s="47" t="s">
        <v>17</v>
      </c>
      <c r="B192" s="59">
        <v>0.88</v>
      </c>
      <c r="C192" s="60">
        <v>5</v>
      </c>
      <c r="D192" s="61">
        <v>4.3999999999999997E-2</v>
      </c>
      <c r="E192" s="62"/>
      <c r="F192" s="63" t="str">
        <f t="shared" si="8"/>
        <v/>
      </c>
      <c r="G192" s="62"/>
      <c r="H192" s="64"/>
    </row>
    <row r="193" spans="1:8">
      <c r="A193" s="47" t="s">
        <v>18</v>
      </c>
      <c r="B193" s="59">
        <v>0.85</v>
      </c>
      <c r="C193" s="60">
        <v>3</v>
      </c>
      <c r="D193" s="61">
        <v>2.5000000000000001E-2</v>
      </c>
      <c r="E193" s="62"/>
      <c r="F193" s="63" t="str">
        <f t="shared" si="8"/>
        <v/>
      </c>
      <c r="G193" s="62"/>
      <c r="H193" s="64"/>
    </row>
    <row r="194" spans="1:8">
      <c r="A194" s="47" t="s">
        <v>19</v>
      </c>
      <c r="B194" s="59">
        <v>0.82</v>
      </c>
      <c r="C194" s="60">
        <v>3</v>
      </c>
      <c r="D194" s="61">
        <v>2.5000000000000001E-2</v>
      </c>
      <c r="E194" s="62"/>
      <c r="F194" s="63" t="str">
        <f t="shared" si="8"/>
        <v/>
      </c>
      <c r="G194" s="62"/>
      <c r="H194" s="64"/>
    </row>
    <row r="195" spans="1:8">
      <c r="A195" s="47" t="s">
        <v>20</v>
      </c>
      <c r="B195" s="59">
        <v>0.8</v>
      </c>
      <c r="C195" s="60">
        <v>25</v>
      </c>
      <c r="D195" s="61">
        <v>0.2</v>
      </c>
      <c r="E195" s="62"/>
      <c r="F195" s="63" t="str">
        <f t="shared" si="8"/>
        <v/>
      </c>
      <c r="G195" s="62"/>
      <c r="H195" s="64"/>
    </row>
    <row r="196" spans="1:8">
      <c r="A196" s="47" t="s">
        <v>21</v>
      </c>
      <c r="B196" s="59">
        <v>0.78</v>
      </c>
      <c r="C196" s="60">
        <v>5</v>
      </c>
      <c r="D196" s="61">
        <v>3.9E-2</v>
      </c>
      <c r="E196" s="62"/>
      <c r="F196" s="63" t="str">
        <f t="shared" si="8"/>
        <v/>
      </c>
      <c r="G196" s="62"/>
      <c r="H196" s="64"/>
    </row>
    <row r="197" spans="1:8">
      <c r="A197" s="47" t="s">
        <v>22</v>
      </c>
      <c r="B197" s="59">
        <v>0.7</v>
      </c>
      <c r="C197" s="60">
        <v>3</v>
      </c>
      <c r="D197" s="61">
        <v>2.1000000000000001E-2</v>
      </c>
      <c r="E197" s="62"/>
      <c r="F197" s="63" t="str">
        <f t="shared" si="8"/>
        <v/>
      </c>
      <c r="G197" s="62"/>
      <c r="H197" s="64"/>
    </row>
    <row r="198" spans="1:8">
      <c r="A198" s="47" t="s">
        <v>23</v>
      </c>
      <c r="B198" s="59">
        <v>0.65</v>
      </c>
      <c r="C198" s="60">
        <v>3</v>
      </c>
      <c r="D198" s="61">
        <v>0.02</v>
      </c>
      <c r="E198" s="62"/>
      <c r="F198" s="63" t="str">
        <f t="shared" si="8"/>
        <v/>
      </c>
      <c r="G198" s="62"/>
      <c r="H198" s="64"/>
    </row>
    <row r="199" spans="1:8">
      <c r="A199" s="47" t="s">
        <v>24</v>
      </c>
      <c r="B199" s="59">
        <v>0.75</v>
      </c>
      <c r="C199" s="65">
        <v>0</v>
      </c>
      <c r="D199" s="61">
        <v>0</v>
      </c>
      <c r="E199" s="62"/>
      <c r="F199" s="63" t="str">
        <f t="shared" si="8"/>
        <v/>
      </c>
      <c r="G199" s="62"/>
      <c r="H199" s="64"/>
    </row>
    <row r="200" spans="1:8">
      <c r="A200" s="47" t="s">
        <v>25</v>
      </c>
      <c r="B200" s="59">
        <v>0.55000000000000004</v>
      </c>
      <c r="C200" s="60">
        <v>5</v>
      </c>
      <c r="D200" s="61">
        <v>2.8000000000000001E-2</v>
      </c>
      <c r="E200" s="62"/>
      <c r="F200" s="63" t="str">
        <f t="shared" si="8"/>
        <v/>
      </c>
      <c r="G200" s="62"/>
      <c r="H200" s="64"/>
    </row>
    <row r="201" spans="1:8">
      <c r="A201" s="47" t="s">
        <v>26</v>
      </c>
      <c r="B201" s="59">
        <v>0.5</v>
      </c>
      <c r="C201" s="65">
        <v>0</v>
      </c>
      <c r="D201" s="61">
        <v>0</v>
      </c>
      <c r="E201" s="62"/>
      <c r="F201" s="63" t="str">
        <f t="shared" si="8"/>
        <v/>
      </c>
      <c r="G201" s="62"/>
      <c r="H201" s="64"/>
    </row>
    <row r="202" spans="1:8">
      <c r="A202" s="47" t="s">
        <v>27</v>
      </c>
      <c r="B202" s="59">
        <v>0.35</v>
      </c>
      <c r="C202" s="60">
        <v>3</v>
      </c>
      <c r="D202" s="61">
        <v>0.01</v>
      </c>
      <c r="E202" s="62"/>
      <c r="F202" s="63" t="str">
        <f t="shared" si="8"/>
        <v/>
      </c>
      <c r="G202" s="62"/>
      <c r="H202" s="64"/>
    </row>
    <row r="203" spans="1:8">
      <c r="A203" s="47" t="s">
        <v>28</v>
      </c>
      <c r="B203" s="59">
        <v>0.25</v>
      </c>
      <c r="C203" s="60">
        <v>1</v>
      </c>
      <c r="D203" s="61">
        <v>3.0000000000000001E-3</v>
      </c>
      <c r="E203" s="62"/>
      <c r="F203" s="63" t="str">
        <f t="shared" si="8"/>
        <v/>
      </c>
      <c r="G203" s="62"/>
      <c r="H203" s="64"/>
    </row>
    <row r="204" spans="1:8">
      <c r="A204" s="47" t="s">
        <v>29</v>
      </c>
      <c r="B204" s="59">
        <v>0.35</v>
      </c>
      <c r="C204" s="60">
        <v>2</v>
      </c>
      <c r="D204" s="61">
        <v>7.0000000000000001E-3</v>
      </c>
      <c r="E204" s="62"/>
      <c r="F204" s="63" t="str">
        <f t="shared" si="8"/>
        <v/>
      </c>
      <c r="G204" s="62"/>
      <c r="H204" s="64"/>
    </row>
    <row r="205" spans="1:8">
      <c r="A205" s="47" t="s">
        <v>30</v>
      </c>
      <c r="B205" s="59">
        <v>0.2</v>
      </c>
      <c r="C205" s="60">
        <v>5</v>
      </c>
      <c r="D205" s="61">
        <v>0.01</v>
      </c>
      <c r="E205" s="62"/>
      <c r="F205" s="63" t="str">
        <f t="shared" si="8"/>
        <v/>
      </c>
      <c r="G205" s="62"/>
      <c r="H205" s="64"/>
    </row>
    <row r="206" spans="1:8">
      <c r="A206" s="47" t="s">
        <v>31</v>
      </c>
      <c r="B206" s="59">
        <v>0.08</v>
      </c>
      <c r="C206" s="65">
        <v>0</v>
      </c>
      <c r="D206" s="61">
        <v>0</v>
      </c>
      <c r="E206" s="62"/>
      <c r="F206" s="63" t="str">
        <f t="shared" si="8"/>
        <v/>
      </c>
      <c r="G206" s="62"/>
      <c r="H206" s="64"/>
    </row>
    <row r="207" spans="1:8">
      <c r="A207" s="47" t="s">
        <v>32</v>
      </c>
      <c r="B207" s="59">
        <v>0.1</v>
      </c>
      <c r="C207" s="60">
        <v>8</v>
      </c>
      <c r="D207" s="61">
        <v>8.0000000000000002E-3</v>
      </c>
      <c r="E207" s="62"/>
      <c r="F207" s="63" t="str">
        <f t="shared" si="8"/>
        <v/>
      </c>
      <c r="G207" s="62"/>
      <c r="H207" s="64"/>
    </row>
    <row r="208" spans="1:8">
      <c r="A208" s="47" t="s">
        <v>33</v>
      </c>
      <c r="B208" s="59">
        <v>0.05</v>
      </c>
      <c r="C208" s="60">
        <v>4</v>
      </c>
      <c r="D208" s="61">
        <v>2E-3</v>
      </c>
      <c r="E208" s="62"/>
      <c r="F208" s="63" t="str">
        <f t="shared" si="8"/>
        <v/>
      </c>
      <c r="G208" s="62"/>
      <c r="H208" s="64"/>
    </row>
    <row r="209" spans="1:8">
      <c r="A209" s="66" t="s">
        <v>34</v>
      </c>
      <c r="C209" s="67">
        <v>100</v>
      </c>
      <c r="D209" s="68">
        <v>0.67100000000000004</v>
      </c>
      <c r="E209" s="69">
        <f>SUM(E191:E208)</f>
        <v>0</v>
      </c>
      <c r="F209" s="70">
        <f>SUM(F191:F208)</f>
        <v>0</v>
      </c>
    </row>
    <row r="211" spans="1:8">
      <c r="A211" s="87" t="s">
        <v>80</v>
      </c>
      <c r="B211" s="85"/>
      <c r="C211" s="85"/>
      <c r="D211" s="85"/>
      <c r="E211" s="56" t="s">
        <v>81</v>
      </c>
      <c r="F211" s="57" t="s">
        <v>82</v>
      </c>
      <c r="G211" s="57" t="s">
        <v>83</v>
      </c>
      <c r="H211" s="57" t="s">
        <v>84</v>
      </c>
    </row>
    <row r="212" spans="1:8">
      <c r="A212" s="88" t="s">
        <v>85</v>
      </c>
      <c r="B212" s="85"/>
      <c r="C212" s="85"/>
      <c r="D212" s="85"/>
      <c r="E212" s="85"/>
      <c r="F212" s="85"/>
      <c r="G212" s="85"/>
      <c r="H212" s="85"/>
    </row>
    <row r="213" spans="1:8">
      <c r="A213" s="58" t="s">
        <v>8</v>
      </c>
      <c r="B213" s="58" t="s">
        <v>9</v>
      </c>
      <c r="C213" s="58" t="s">
        <v>10</v>
      </c>
      <c r="D213" s="58" t="s">
        <v>11</v>
      </c>
      <c r="E213" s="58" t="s">
        <v>12</v>
      </c>
      <c r="F213" s="58" t="s">
        <v>13</v>
      </c>
      <c r="G213" s="58" t="s">
        <v>14</v>
      </c>
      <c r="H213" s="58" t="s">
        <v>15</v>
      </c>
    </row>
    <row r="214" spans="1:8">
      <c r="A214" s="47" t="s">
        <v>16</v>
      </c>
      <c r="B214" s="59">
        <v>0.92</v>
      </c>
      <c r="C214" s="60">
        <v>10</v>
      </c>
      <c r="D214" s="61">
        <v>9.1999999999999998E-2</v>
      </c>
      <c r="E214" s="62"/>
      <c r="F214" s="63" t="str">
        <f t="shared" ref="F214:F231" si="9">IF(E214="","",(E214*B214/100))</f>
        <v/>
      </c>
      <c r="G214" s="62"/>
      <c r="H214" s="64"/>
    </row>
    <row r="215" spans="1:8">
      <c r="A215" s="47" t="s">
        <v>17</v>
      </c>
      <c r="B215" s="59">
        <v>0.88</v>
      </c>
      <c r="C215" s="60">
        <v>15</v>
      </c>
      <c r="D215" s="61">
        <v>0.13200000000000001</v>
      </c>
      <c r="E215" s="62"/>
      <c r="F215" s="63" t="str">
        <f t="shared" si="9"/>
        <v/>
      </c>
      <c r="G215" s="62"/>
      <c r="H215" s="64"/>
    </row>
    <row r="216" spans="1:8">
      <c r="A216" s="47" t="s">
        <v>18</v>
      </c>
      <c r="B216" s="59">
        <v>0.85</v>
      </c>
      <c r="C216" s="60">
        <v>5</v>
      </c>
      <c r="D216" s="61">
        <v>4.2999999999999997E-2</v>
      </c>
      <c r="E216" s="62"/>
      <c r="F216" s="63" t="str">
        <f t="shared" si="9"/>
        <v/>
      </c>
      <c r="G216" s="62"/>
      <c r="H216" s="64"/>
    </row>
    <row r="217" spans="1:8">
      <c r="A217" s="47" t="s">
        <v>19</v>
      </c>
      <c r="B217" s="59">
        <v>0.82</v>
      </c>
      <c r="C217" s="60">
        <v>20</v>
      </c>
      <c r="D217" s="61">
        <v>0.16400000000000001</v>
      </c>
      <c r="E217" s="62"/>
      <c r="F217" s="63" t="str">
        <f t="shared" si="9"/>
        <v/>
      </c>
      <c r="G217" s="62"/>
      <c r="H217" s="64"/>
    </row>
    <row r="218" spans="1:8">
      <c r="A218" s="47" t="s">
        <v>20</v>
      </c>
      <c r="B218" s="59">
        <v>0.8</v>
      </c>
      <c r="C218" s="60">
        <v>3</v>
      </c>
      <c r="D218" s="61">
        <v>2.4E-2</v>
      </c>
      <c r="E218" s="62"/>
      <c r="F218" s="63" t="str">
        <f t="shared" si="9"/>
        <v/>
      </c>
      <c r="G218" s="62"/>
      <c r="H218" s="64"/>
    </row>
    <row r="219" spans="1:8">
      <c r="A219" s="47" t="s">
        <v>21</v>
      </c>
      <c r="B219" s="59">
        <v>0.78</v>
      </c>
      <c r="C219" s="60">
        <v>5</v>
      </c>
      <c r="D219" s="61">
        <v>3.9E-2</v>
      </c>
      <c r="E219" s="62"/>
      <c r="F219" s="63" t="str">
        <f t="shared" si="9"/>
        <v/>
      </c>
      <c r="G219" s="62"/>
      <c r="H219" s="64"/>
    </row>
    <row r="220" spans="1:8">
      <c r="A220" s="47" t="s">
        <v>22</v>
      </c>
      <c r="B220" s="59">
        <v>0.7</v>
      </c>
      <c r="C220" s="60">
        <v>8</v>
      </c>
      <c r="D220" s="61">
        <v>5.6000000000000001E-2</v>
      </c>
      <c r="E220" s="62"/>
      <c r="F220" s="63" t="str">
        <f t="shared" si="9"/>
        <v/>
      </c>
      <c r="G220" s="62"/>
      <c r="H220" s="64"/>
    </row>
    <row r="221" spans="1:8">
      <c r="A221" s="47" t="s">
        <v>23</v>
      </c>
      <c r="B221" s="59">
        <v>0.65</v>
      </c>
      <c r="C221" s="60">
        <v>12</v>
      </c>
      <c r="D221" s="61">
        <v>7.8E-2</v>
      </c>
      <c r="E221" s="62"/>
      <c r="F221" s="63" t="str">
        <f t="shared" si="9"/>
        <v/>
      </c>
      <c r="G221" s="62"/>
      <c r="H221" s="64"/>
    </row>
    <row r="222" spans="1:8">
      <c r="A222" s="47" t="s">
        <v>24</v>
      </c>
      <c r="B222" s="59">
        <v>0.75</v>
      </c>
      <c r="C222" s="65">
        <v>0</v>
      </c>
      <c r="D222" s="61">
        <v>0</v>
      </c>
      <c r="E222" s="62"/>
      <c r="F222" s="63" t="str">
        <f t="shared" si="9"/>
        <v/>
      </c>
      <c r="G222" s="62"/>
      <c r="H222" s="64"/>
    </row>
    <row r="223" spans="1:8">
      <c r="A223" s="47" t="s">
        <v>25</v>
      </c>
      <c r="B223" s="59">
        <v>0.55000000000000004</v>
      </c>
      <c r="C223" s="60">
        <v>2</v>
      </c>
      <c r="D223" s="61">
        <v>1.0999999999999999E-2</v>
      </c>
      <c r="E223" s="62"/>
      <c r="F223" s="63" t="str">
        <f t="shared" si="9"/>
        <v/>
      </c>
      <c r="G223" s="62"/>
      <c r="H223" s="64"/>
    </row>
    <row r="224" spans="1:8">
      <c r="A224" s="47" t="s">
        <v>26</v>
      </c>
      <c r="B224" s="59">
        <v>0.5</v>
      </c>
      <c r="C224" s="60">
        <v>1</v>
      </c>
      <c r="D224" s="61">
        <v>5.0000000000000001E-3</v>
      </c>
      <c r="E224" s="62"/>
      <c r="F224" s="63" t="str">
        <f t="shared" si="9"/>
        <v/>
      </c>
      <c r="G224" s="62"/>
      <c r="H224" s="64"/>
    </row>
    <row r="225" spans="1:8">
      <c r="A225" s="47" t="s">
        <v>27</v>
      </c>
      <c r="B225" s="59">
        <v>0.35</v>
      </c>
      <c r="C225" s="60">
        <v>2</v>
      </c>
      <c r="D225" s="61">
        <v>7.0000000000000001E-3</v>
      </c>
      <c r="E225" s="62"/>
      <c r="F225" s="63" t="str">
        <f t="shared" si="9"/>
        <v/>
      </c>
      <c r="G225" s="62"/>
      <c r="H225" s="64"/>
    </row>
    <row r="226" spans="1:8">
      <c r="A226" s="47" t="s">
        <v>28</v>
      </c>
      <c r="B226" s="59">
        <v>0.25</v>
      </c>
      <c r="C226" s="60">
        <v>2</v>
      </c>
      <c r="D226" s="61">
        <v>5.0000000000000001E-3</v>
      </c>
      <c r="E226" s="62"/>
      <c r="F226" s="63" t="str">
        <f t="shared" si="9"/>
        <v/>
      </c>
      <c r="G226" s="62"/>
      <c r="H226" s="64"/>
    </row>
    <row r="227" spans="1:8">
      <c r="A227" s="47" t="s">
        <v>29</v>
      </c>
      <c r="B227" s="59">
        <v>0.35</v>
      </c>
      <c r="C227" s="60">
        <v>2</v>
      </c>
      <c r="D227" s="61">
        <v>7.0000000000000001E-3</v>
      </c>
      <c r="E227" s="62"/>
      <c r="F227" s="63" t="str">
        <f t="shared" si="9"/>
        <v/>
      </c>
      <c r="G227" s="62"/>
      <c r="H227" s="64"/>
    </row>
    <row r="228" spans="1:8">
      <c r="A228" s="47" t="s">
        <v>30</v>
      </c>
      <c r="B228" s="59">
        <v>0.2</v>
      </c>
      <c r="C228" s="60">
        <v>3</v>
      </c>
      <c r="D228" s="61">
        <v>6.0000000000000001E-3</v>
      </c>
      <c r="E228" s="62"/>
      <c r="F228" s="63" t="str">
        <f t="shared" si="9"/>
        <v/>
      </c>
      <c r="G228" s="62"/>
      <c r="H228" s="64"/>
    </row>
    <row r="229" spans="1:8">
      <c r="A229" s="47" t="s">
        <v>31</v>
      </c>
      <c r="B229" s="59">
        <v>0.08</v>
      </c>
      <c r="C229" s="65">
        <v>0</v>
      </c>
      <c r="D229" s="61">
        <v>0</v>
      </c>
      <c r="E229" s="62"/>
      <c r="F229" s="63" t="str">
        <f t="shared" si="9"/>
        <v/>
      </c>
      <c r="G229" s="62"/>
      <c r="H229" s="64"/>
    </row>
    <row r="230" spans="1:8">
      <c r="A230" s="47" t="s">
        <v>32</v>
      </c>
      <c r="B230" s="59">
        <v>0.1</v>
      </c>
      <c r="C230" s="60">
        <v>5</v>
      </c>
      <c r="D230" s="61">
        <v>5.0000000000000001E-3</v>
      </c>
      <c r="E230" s="62"/>
      <c r="F230" s="63" t="str">
        <f t="shared" si="9"/>
        <v/>
      </c>
      <c r="G230" s="62"/>
      <c r="H230" s="64"/>
    </row>
    <row r="231" spans="1:8">
      <c r="A231" s="47" t="s">
        <v>33</v>
      </c>
      <c r="B231" s="59">
        <v>0.05</v>
      </c>
      <c r="C231" s="60">
        <v>5</v>
      </c>
      <c r="D231" s="61">
        <v>3.0000000000000001E-3</v>
      </c>
      <c r="E231" s="62"/>
      <c r="F231" s="63" t="str">
        <f t="shared" si="9"/>
        <v/>
      </c>
      <c r="G231" s="62"/>
      <c r="H231" s="64"/>
    </row>
    <row r="232" spans="1:8">
      <c r="A232" s="66" t="s">
        <v>34</v>
      </c>
      <c r="C232" s="67">
        <v>100</v>
      </c>
      <c r="D232" s="68">
        <v>0.67600000000000005</v>
      </c>
      <c r="E232" s="69">
        <f>SUM(E214:E231)</f>
        <v>0</v>
      </c>
      <c r="F232" s="70">
        <f>SUM(F214:F231)</f>
        <v>0</v>
      </c>
    </row>
    <row r="234" spans="1:8">
      <c r="A234" s="87" t="s">
        <v>86</v>
      </c>
      <c r="B234" s="85"/>
      <c r="C234" s="85"/>
      <c r="D234" s="85"/>
      <c r="E234" s="56" t="s">
        <v>87</v>
      </c>
      <c r="F234" s="57" t="s">
        <v>88</v>
      </c>
      <c r="G234" s="57" t="s">
        <v>89</v>
      </c>
      <c r="H234" s="57" t="s">
        <v>90</v>
      </c>
    </row>
    <row r="235" spans="1:8">
      <c r="A235" s="88" t="s">
        <v>91</v>
      </c>
      <c r="B235" s="85"/>
      <c r="C235" s="85"/>
      <c r="D235" s="85"/>
      <c r="E235" s="85"/>
      <c r="F235" s="85"/>
      <c r="G235" s="85"/>
      <c r="H235" s="85"/>
    </row>
    <row r="236" spans="1:8">
      <c r="A236" s="58" t="s">
        <v>8</v>
      </c>
      <c r="B236" s="58" t="s">
        <v>9</v>
      </c>
      <c r="C236" s="58" t="s">
        <v>10</v>
      </c>
      <c r="D236" s="58" t="s">
        <v>11</v>
      </c>
      <c r="E236" s="58" t="s">
        <v>12</v>
      </c>
      <c r="F236" s="58" t="s">
        <v>13</v>
      </c>
      <c r="G236" s="58" t="s">
        <v>14</v>
      </c>
      <c r="H236" s="58" t="s">
        <v>15</v>
      </c>
    </row>
    <row r="237" spans="1:8">
      <c r="A237" s="47" t="s">
        <v>16</v>
      </c>
      <c r="B237" s="59">
        <v>0.92</v>
      </c>
      <c r="C237" s="60">
        <v>3</v>
      </c>
      <c r="D237" s="61">
        <v>2.8000000000000001E-2</v>
      </c>
      <c r="E237" s="62"/>
      <c r="F237" s="63" t="str">
        <f t="shared" ref="F237:F254" si="10">IF(E237="","",(E237*B237/100))</f>
        <v/>
      </c>
      <c r="G237" s="62"/>
      <c r="H237" s="64"/>
    </row>
    <row r="238" spans="1:8">
      <c r="A238" s="47" t="s">
        <v>17</v>
      </c>
      <c r="B238" s="59">
        <v>0.88</v>
      </c>
      <c r="C238" s="60">
        <v>2</v>
      </c>
      <c r="D238" s="61">
        <v>1.7999999999999999E-2</v>
      </c>
      <c r="E238" s="62"/>
      <c r="F238" s="63" t="str">
        <f t="shared" si="10"/>
        <v/>
      </c>
      <c r="G238" s="62"/>
      <c r="H238" s="64"/>
    </row>
    <row r="239" spans="1:8">
      <c r="A239" s="47" t="s">
        <v>18</v>
      </c>
      <c r="B239" s="59">
        <v>0.85</v>
      </c>
      <c r="C239" s="60">
        <v>3</v>
      </c>
      <c r="D239" s="61">
        <v>2.5000000000000001E-2</v>
      </c>
      <c r="E239" s="62"/>
      <c r="F239" s="63" t="str">
        <f t="shared" si="10"/>
        <v/>
      </c>
      <c r="G239" s="62"/>
      <c r="H239" s="64"/>
    </row>
    <row r="240" spans="1:8">
      <c r="A240" s="47" t="s">
        <v>19</v>
      </c>
      <c r="B240" s="59">
        <v>0.82</v>
      </c>
      <c r="C240" s="60">
        <v>5</v>
      </c>
      <c r="D240" s="61">
        <v>4.1000000000000002E-2</v>
      </c>
      <c r="E240" s="62"/>
      <c r="F240" s="63" t="str">
        <f t="shared" si="10"/>
        <v/>
      </c>
      <c r="G240" s="62"/>
      <c r="H240" s="64"/>
    </row>
    <row r="241" spans="1:8">
      <c r="A241" s="47" t="s">
        <v>20</v>
      </c>
      <c r="B241" s="59">
        <v>0.8</v>
      </c>
      <c r="C241" s="60">
        <v>3</v>
      </c>
      <c r="D241" s="61">
        <v>2.4E-2</v>
      </c>
      <c r="E241" s="62"/>
      <c r="F241" s="63" t="str">
        <f t="shared" si="10"/>
        <v/>
      </c>
      <c r="G241" s="62"/>
      <c r="H241" s="64"/>
    </row>
    <row r="242" spans="1:8">
      <c r="A242" s="47" t="s">
        <v>21</v>
      </c>
      <c r="B242" s="59">
        <v>0.78</v>
      </c>
      <c r="C242" s="60">
        <v>3</v>
      </c>
      <c r="D242" s="61">
        <v>2.3E-2</v>
      </c>
      <c r="E242" s="62"/>
      <c r="F242" s="63" t="str">
        <f t="shared" si="10"/>
        <v/>
      </c>
      <c r="G242" s="62"/>
      <c r="H242" s="64"/>
    </row>
    <row r="243" spans="1:8">
      <c r="A243" s="47" t="s">
        <v>22</v>
      </c>
      <c r="B243" s="59">
        <v>0.7</v>
      </c>
      <c r="C243" s="60">
        <v>2</v>
      </c>
      <c r="D243" s="61">
        <v>1.4E-2</v>
      </c>
      <c r="E243" s="62"/>
      <c r="F243" s="63" t="str">
        <f t="shared" si="10"/>
        <v/>
      </c>
      <c r="G243" s="62"/>
      <c r="H243" s="64"/>
    </row>
    <row r="244" spans="1:8">
      <c r="A244" s="47" t="s">
        <v>23</v>
      </c>
      <c r="B244" s="59">
        <v>0.65</v>
      </c>
      <c r="C244" s="60">
        <v>5</v>
      </c>
      <c r="D244" s="61">
        <v>3.3000000000000002E-2</v>
      </c>
      <c r="E244" s="62"/>
      <c r="F244" s="63" t="str">
        <f t="shared" si="10"/>
        <v/>
      </c>
      <c r="G244" s="62"/>
      <c r="H244" s="64"/>
    </row>
    <row r="245" spans="1:8">
      <c r="A245" s="47" t="s">
        <v>24</v>
      </c>
      <c r="B245" s="59">
        <v>0.75</v>
      </c>
      <c r="C245" s="65">
        <v>0</v>
      </c>
      <c r="D245" s="61">
        <v>0</v>
      </c>
      <c r="E245" s="62"/>
      <c r="F245" s="63" t="str">
        <f t="shared" si="10"/>
        <v/>
      </c>
      <c r="G245" s="62"/>
      <c r="H245" s="64"/>
    </row>
    <row r="246" spans="1:8">
      <c r="A246" s="47" t="s">
        <v>25</v>
      </c>
      <c r="B246" s="59">
        <v>0.55000000000000004</v>
      </c>
      <c r="C246" s="60">
        <v>10</v>
      </c>
      <c r="D246" s="61">
        <v>5.5E-2</v>
      </c>
      <c r="E246" s="62"/>
      <c r="F246" s="63" t="str">
        <f t="shared" si="10"/>
        <v/>
      </c>
      <c r="G246" s="62"/>
      <c r="H246" s="64"/>
    </row>
    <row r="247" spans="1:8">
      <c r="A247" s="47" t="s">
        <v>26</v>
      </c>
      <c r="B247" s="59">
        <v>0.5</v>
      </c>
      <c r="C247" s="65">
        <v>0</v>
      </c>
      <c r="D247" s="61">
        <v>0</v>
      </c>
      <c r="E247" s="62"/>
      <c r="F247" s="63" t="str">
        <f t="shared" si="10"/>
        <v/>
      </c>
      <c r="G247" s="62"/>
      <c r="H247" s="64"/>
    </row>
    <row r="248" spans="1:8">
      <c r="A248" s="47" t="s">
        <v>27</v>
      </c>
      <c r="B248" s="59">
        <v>0.35</v>
      </c>
      <c r="C248" s="60">
        <v>5</v>
      </c>
      <c r="D248" s="61">
        <v>1.7999999999999999E-2</v>
      </c>
      <c r="E248" s="62"/>
      <c r="F248" s="63" t="str">
        <f t="shared" si="10"/>
        <v/>
      </c>
      <c r="G248" s="62"/>
      <c r="H248" s="64"/>
    </row>
    <row r="249" spans="1:8">
      <c r="A249" s="47" t="s">
        <v>28</v>
      </c>
      <c r="B249" s="59">
        <v>0.25</v>
      </c>
      <c r="C249" s="60">
        <v>2</v>
      </c>
      <c r="D249" s="61">
        <v>5.0000000000000001E-3</v>
      </c>
      <c r="E249" s="62"/>
      <c r="F249" s="63" t="str">
        <f t="shared" si="10"/>
        <v/>
      </c>
      <c r="G249" s="62"/>
      <c r="H249" s="64"/>
    </row>
    <row r="250" spans="1:8">
      <c r="A250" s="47" t="s">
        <v>29</v>
      </c>
      <c r="B250" s="59">
        <v>0.35</v>
      </c>
      <c r="C250" s="60">
        <v>3</v>
      </c>
      <c r="D250" s="61">
        <v>0.01</v>
      </c>
      <c r="E250" s="62"/>
      <c r="F250" s="63" t="str">
        <f t="shared" si="10"/>
        <v/>
      </c>
      <c r="G250" s="62"/>
      <c r="H250" s="64"/>
    </row>
    <row r="251" spans="1:8">
      <c r="A251" s="47" t="s">
        <v>30</v>
      </c>
      <c r="B251" s="59">
        <v>0.2</v>
      </c>
      <c r="C251" s="60">
        <v>5</v>
      </c>
      <c r="D251" s="61">
        <v>0.01</v>
      </c>
      <c r="E251" s="62"/>
      <c r="F251" s="63" t="str">
        <f t="shared" si="10"/>
        <v/>
      </c>
      <c r="G251" s="62"/>
      <c r="H251" s="64"/>
    </row>
    <row r="252" spans="1:8">
      <c r="A252" s="47" t="s">
        <v>31</v>
      </c>
      <c r="B252" s="59">
        <v>0.08</v>
      </c>
      <c r="C252" s="65">
        <v>0</v>
      </c>
      <c r="D252" s="61">
        <v>0</v>
      </c>
      <c r="E252" s="62"/>
      <c r="F252" s="63" t="str">
        <f t="shared" si="10"/>
        <v/>
      </c>
      <c r="G252" s="62"/>
      <c r="H252" s="64"/>
    </row>
    <row r="253" spans="1:8">
      <c r="A253" s="47" t="s">
        <v>32</v>
      </c>
      <c r="B253" s="59">
        <v>0.1</v>
      </c>
      <c r="C253" s="60">
        <v>35</v>
      </c>
      <c r="D253" s="61">
        <v>3.5000000000000003E-2</v>
      </c>
      <c r="E253" s="62"/>
      <c r="F253" s="63" t="str">
        <f t="shared" si="10"/>
        <v/>
      </c>
      <c r="G253" s="62"/>
      <c r="H253" s="64"/>
    </row>
    <row r="254" spans="1:8">
      <c r="A254" s="47" t="s">
        <v>33</v>
      </c>
      <c r="B254" s="59">
        <v>0.05</v>
      </c>
      <c r="C254" s="60">
        <v>14</v>
      </c>
      <c r="D254" s="61">
        <v>7.0000000000000001E-3</v>
      </c>
      <c r="E254" s="62"/>
      <c r="F254" s="63" t="str">
        <f t="shared" si="10"/>
        <v/>
      </c>
      <c r="G254" s="62"/>
      <c r="H254" s="64"/>
    </row>
    <row r="255" spans="1:8">
      <c r="A255" s="66" t="s">
        <v>34</v>
      </c>
      <c r="C255" s="67">
        <v>100</v>
      </c>
      <c r="D255" s="68">
        <v>0.34599999999999997</v>
      </c>
      <c r="E255" s="69">
        <f>SUM(E237:E254)</f>
        <v>0</v>
      </c>
      <c r="F255" s="70">
        <f>SUM(F237:F254)</f>
        <v>0</v>
      </c>
    </row>
    <row r="257" spans="1:8">
      <c r="A257" s="87" t="s">
        <v>92</v>
      </c>
      <c r="B257" s="85"/>
      <c r="C257" s="85"/>
      <c r="D257" s="85"/>
      <c r="E257" s="56" t="s">
        <v>93</v>
      </c>
      <c r="F257" s="57" t="s">
        <v>94</v>
      </c>
      <c r="G257" s="57" t="s">
        <v>95</v>
      </c>
      <c r="H257" s="57" t="s">
        <v>96</v>
      </c>
    </row>
    <row r="258" spans="1:8">
      <c r="A258" s="88" t="s">
        <v>97</v>
      </c>
      <c r="B258" s="85"/>
      <c r="C258" s="85"/>
      <c r="D258" s="85"/>
      <c r="E258" s="85"/>
      <c r="F258" s="85"/>
      <c r="G258" s="85"/>
      <c r="H258" s="85"/>
    </row>
    <row r="259" spans="1:8">
      <c r="A259" s="58" t="s">
        <v>8</v>
      </c>
      <c r="B259" s="58" t="s">
        <v>9</v>
      </c>
      <c r="C259" s="58" t="s">
        <v>10</v>
      </c>
      <c r="D259" s="58" t="s">
        <v>11</v>
      </c>
      <c r="E259" s="58" t="s">
        <v>12</v>
      </c>
      <c r="F259" s="58" t="s">
        <v>13</v>
      </c>
      <c r="G259" s="58" t="s">
        <v>14</v>
      </c>
      <c r="H259" s="58" t="s">
        <v>15</v>
      </c>
    </row>
    <row r="260" spans="1:8">
      <c r="A260" s="47" t="s">
        <v>16</v>
      </c>
      <c r="B260" s="59">
        <v>0.92</v>
      </c>
      <c r="C260" s="60">
        <v>2</v>
      </c>
      <c r="D260" s="61">
        <v>1.7999999999999999E-2</v>
      </c>
      <c r="E260" s="62"/>
      <c r="F260" s="63" t="str">
        <f t="shared" ref="F260:F277" si="11">IF(E260="","",(E260*B260/100))</f>
        <v/>
      </c>
      <c r="G260" s="62"/>
      <c r="H260" s="64"/>
    </row>
    <row r="261" spans="1:8">
      <c r="A261" s="47" t="s">
        <v>17</v>
      </c>
      <c r="B261" s="59">
        <v>0.88</v>
      </c>
      <c r="C261" s="60">
        <v>1</v>
      </c>
      <c r="D261" s="61">
        <v>8.9999999999999993E-3</v>
      </c>
      <c r="E261" s="62"/>
      <c r="F261" s="63" t="str">
        <f t="shared" si="11"/>
        <v/>
      </c>
      <c r="G261" s="62"/>
      <c r="H261" s="64"/>
    </row>
    <row r="262" spans="1:8">
      <c r="A262" s="47" t="s">
        <v>18</v>
      </c>
      <c r="B262" s="59">
        <v>0.85</v>
      </c>
      <c r="C262" s="60">
        <v>2</v>
      </c>
      <c r="D262" s="61">
        <v>1.7000000000000001E-2</v>
      </c>
      <c r="E262" s="62"/>
      <c r="F262" s="63" t="str">
        <f t="shared" si="11"/>
        <v/>
      </c>
      <c r="G262" s="62"/>
      <c r="H262" s="64"/>
    </row>
    <row r="263" spans="1:8">
      <c r="A263" s="47" t="s">
        <v>19</v>
      </c>
      <c r="B263" s="59">
        <v>0.82</v>
      </c>
      <c r="C263" s="60">
        <v>3</v>
      </c>
      <c r="D263" s="61">
        <v>2.5000000000000001E-2</v>
      </c>
      <c r="E263" s="62"/>
      <c r="F263" s="63" t="str">
        <f t="shared" si="11"/>
        <v/>
      </c>
      <c r="G263" s="62"/>
      <c r="H263" s="64"/>
    </row>
    <row r="264" spans="1:8">
      <c r="A264" s="47" t="s">
        <v>20</v>
      </c>
      <c r="B264" s="59">
        <v>0.8</v>
      </c>
      <c r="C264" s="60">
        <v>2</v>
      </c>
      <c r="D264" s="61">
        <v>1.6E-2</v>
      </c>
      <c r="E264" s="62"/>
      <c r="F264" s="63" t="str">
        <f t="shared" si="11"/>
        <v/>
      </c>
      <c r="G264" s="62"/>
      <c r="H264" s="64"/>
    </row>
    <row r="265" spans="1:8">
      <c r="A265" s="47" t="s">
        <v>21</v>
      </c>
      <c r="B265" s="59">
        <v>0.78</v>
      </c>
      <c r="C265" s="60">
        <v>2</v>
      </c>
      <c r="D265" s="61">
        <v>1.6E-2</v>
      </c>
      <c r="E265" s="62"/>
      <c r="F265" s="63" t="str">
        <f t="shared" si="11"/>
        <v/>
      </c>
      <c r="G265" s="62"/>
      <c r="H265" s="64"/>
    </row>
    <row r="266" spans="1:8">
      <c r="A266" s="47" t="s">
        <v>22</v>
      </c>
      <c r="B266" s="59">
        <v>0.7</v>
      </c>
      <c r="C266" s="60">
        <v>2</v>
      </c>
      <c r="D266" s="61">
        <v>1.4E-2</v>
      </c>
      <c r="E266" s="62"/>
      <c r="F266" s="63" t="str">
        <f t="shared" si="11"/>
        <v/>
      </c>
      <c r="G266" s="62"/>
      <c r="H266" s="64"/>
    </row>
    <row r="267" spans="1:8">
      <c r="A267" s="47" t="s">
        <v>23</v>
      </c>
      <c r="B267" s="59">
        <v>0.65</v>
      </c>
      <c r="C267" s="60">
        <v>5</v>
      </c>
      <c r="D267" s="61">
        <v>3.3000000000000002E-2</v>
      </c>
      <c r="E267" s="62"/>
      <c r="F267" s="63" t="str">
        <f t="shared" si="11"/>
        <v/>
      </c>
      <c r="G267" s="62"/>
      <c r="H267" s="64"/>
    </row>
    <row r="268" spans="1:8">
      <c r="A268" s="47" t="s">
        <v>24</v>
      </c>
      <c r="B268" s="59">
        <v>0.75</v>
      </c>
      <c r="C268" s="65">
        <v>0</v>
      </c>
      <c r="D268" s="61">
        <v>0</v>
      </c>
      <c r="E268" s="62"/>
      <c r="F268" s="63" t="str">
        <f t="shared" si="11"/>
        <v/>
      </c>
      <c r="G268" s="62"/>
      <c r="H268" s="64"/>
    </row>
    <row r="269" spans="1:8">
      <c r="A269" s="47" t="s">
        <v>25</v>
      </c>
      <c r="B269" s="59">
        <v>0.55000000000000004</v>
      </c>
      <c r="C269" s="60">
        <v>5</v>
      </c>
      <c r="D269" s="61">
        <v>2.8000000000000001E-2</v>
      </c>
      <c r="E269" s="62"/>
      <c r="F269" s="63" t="str">
        <f t="shared" si="11"/>
        <v/>
      </c>
      <c r="G269" s="62"/>
      <c r="H269" s="64"/>
    </row>
    <row r="270" spans="1:8">
      <c r="A270" s="47" t="s">
        <v>26</v>
      </c>
      <c r="B270" s="59">
        <v>0.5</v>
      </c>
      <c r="C270" s="60">
        <v>3</v>
      </c>
      <c r="D270" s="61">
        <v>1.4999999999999999E-2</v>
      </c>
      <c r="E270" s="62"/>
      <c r="F270" s="63" t="str">
        <f t="shared" si="11"/>
        <v/>
      </c>
      <c r="G270" s="62"/>
      <c r="H270" s="64"/>
    </row>
    <row r="271" spans="1:8">
      <c r="A271" s="47" t="s">
        <v>27</v>
      </c>
      <c r="B271" s="59">
        <v>0.35</v>
      </c>
      <c r="C271" s="60">
        <v>5</v>
      </c>
      <c r="D271" s="61">
        <v>1.7999999999999999E-2</v>
      </c>
      <c r="E271" s="62"/>
      <c r="F271" s="63" t="str">
        <f t="shared" si="11"/>
        <v/>
      </c>
      <c r="G271" s="62"/>
      <c r="H271" s="64"/>
    </row>
    <row r="272" spans="1:8">
      <c r="A272" s="47" t="s">
        <v>28</v>
      </c>
      <c r="B272" s="59">
        <v>0.25</v>
      </c>
      <c r="C272" s="60">
        <v>2</v>
      </c>
      <c r="D272" s="61">
        <v>5.0000000000000001E-3</v>
      </c>
      <c r="E272" s="62"/>
      <c r="F272" s="63" t="str">
        <f t="shared" si="11"/>
        <v/>
      </c>
      <c r="G272" s="62"/>
      <c r="H272" s="64"/>
    </row>
    <row r="273" spans="1:8">
      <c r="A273" s="47" t="s">
        <v>29</v>
      </c>
      <c r="B273" s="59">
        <v>0.35</v>
      </c>
      <c r="C273" s="60">
        <v>5</v>
      </c>
      <c r="D273" s="61">
        <v>1.7999999999999999E-2</v>
      </c>
      <c r="E273" s="62"/>
      <c r="F273" s="63" t="str">
        <f t="shared" si="11"/>
        <v/>
      </c>
      <c r="G273" s="62"/>
      <c r="H273" s="64"/>
    </row>
    <row r="274" spans="1:8">
      <c r="A274" s="47" t="s">
        <v>30</v>
      </c>
      <c r="B274" s="59">
        <v>0.2</v>
      </c>
      <c r="C274" s="60">
        <v>5</v>
      </c>
      <c r="D274" s="61">
        <v>0.01</v>
      </c>
      <c r="E274" s="62"/>
      <c r="F274" s="63" t="str">
        <f t="shared" si="11"/>
        <v/>
      </c>
      <c r="G274" s="62"/>
      <c r="H274" s="64"/>
    </row>
    <row r="275" spans="1:8">
      <c r="A275" s="47" t="s">
        <v>31</v>
      </c>
      <c r="B275" s="59">
        <v>0.08</v>
      </c>
      <c r="C275" s="65">
        <v>0</v>
      </c>
      <c r="D275" s="61">
        <v>0</v>
      </c>
      <c r="E275" s="62"/>
      <c r="F275" s="63" t="str">
        <f t="shared" si="11"/>
        <v/>
      </c>
      <c r="G275" s="62"/>
      <c r="H275" s="64"/>
    </row>
    <row r="276" spans="1:8">
      <c r="A276" s="47" t="s">
        <v>32</v>
      </c>
      <c r="B276" s="59">
        <v>0.1</v>
      </c>
      <c r="C276" s="60">
        <v>35</v>
      </c>
      <c r="D276" s="61">
        <v>3.5000000000000003E-2</v>
      </c>
      <c r="E276" s="62"/>
      <c r="F276" s="63" t="str">
        <f t="shared" si="11"/>
        <v/>
      </c>
      <c r="G276" s="62"/>
      <c r="H276" s="64"/>
    </row>
    <row r="277" spans="1:8">
      <c r="A277" s="47" t="s">
        <v>33</v>
      </c>
      <c r="B277" s="59">
        <v>0.05</v>
      </c>
      <c r="C277" s="60">
        <v>21</v>
      </c>
      <c r="D277" s="61">
        <v>1.0999999999999999E-2</v>
      </c>
      <c r="E277" s="62"/>
      <c r="F277" s="63" t="str">
        <f t="shared" si="11"/>
        <v/>
      </c>
      <c r="G277" s="62"/>
      <c r="H277" s="64"/>
    </row>
    <row r="278" spans="1:8">
      <c r="A278" s="66" t="s">
        <v>34</v>
      </c>
      <c r="C278" s="67">
        <v>100</v>
      </c>
      <c r="D278" s="68">
        <v>0.28499999999999998</v>
      </c>
      <c r="E278" s="69">
        <f>SUM(E260:E277)</f>
        <v>0</v>
      </c>
      <c r="F278" s="70">
        <f>SUM(F260:F277)</f>
        <v>0</v>
      </c>
    </row>
    <row r="280" spans="1:8">
      <c r="A280" s="87" t="s">
        <v>98</v>
      </c>
      <c r="B280" s="85"/>
      <c r="C280" s="85"/>
      <c r="D280" s="85"/>
      <c r="E280" s="56" t="s">
        <v>99</v>
      </c>
      <c r="F280" s="57" t="s">
        <v>100</v>
      </c>
      <c r="G280" s="57" t="s">
        <v>101</v>
      </c>
      <c r="H280" s="57" t="s">
        <v>102</v>
      </c>
    </row>
    <row r="281" spans="1:8">
      <c r="A281" s="88" t="s">
        <v>103</v>
      </c>
      <c r="B281" s="85"/>
      <c r="C281" s="85"/>
      <c r="D281" s="85"/>
      <c r="E281" s="85"/>
      <c r="F281" s="85"/>
      <c r="G281" s="85"/>
      <c r="H281" s="85"/>
    </row>
    <row r="282" spans="1:8">
      <c r="A282" s="58" t="s">
        <v>8</v>
      </c>
      <c r="B282" s="58" t="s">
        <v>9</v>
      </c>
      <c r="C282" s="58" t="s">
        <v>10</v>
      </c>
      <c r="D282" s="58" t="s">
        <v>11</v>
      </c>
      <c r="E282" s="58" t="s">
        <v>12</v>
      </c>
      <c r="F282" s="58" t="s">
        <v>13</v>
      </c>
      <c r="G282" s="58" t="s">
        <v>14</v>
      </c>
      <c r="H282" s="58" t="s">
        <v>15</v>
      </c>
    </row>
    <row r="283" spans="1:8">
      <c r="A283" s="47" t="s">
        <v>16</v>
      </c>
      <c r="B283" s="59">
        <v>0.92</v>
      </c>
      <c r="C283" s="60">
        <v>5</v>
      </c>
      <c r="D283" s="61">
        <v>4.5999999999999999E-2</v>
      </c>
      <c r="E283" s="62"/>
      <c r="F283" s="63" t="str">
        <f t="shared" ref="F283:F300" si="12">IF(E283="","",(E283*B283/100))</f>
        <v/>
      </c>
      <c r="G283" s="62"/>
      <c r="H283" s="64"/>
    </row>
    <row r="284" spans="1:8">
      <c r="A284" s="47" t="s">
        <v>17</v>
      </c>
      <c r="B284" s="59">
        <v>0.88</v>
      </c>
      <c r="C284" s="60">
        <v>3</v>
      </c>
      <c r="D284" s="61">
        <v>2.5999999999999999E-2</v>
      </c>
      <c r="E284" s="62"/>
      <c r="F284" s="63" t="str">
        <f t="shared" si="12"/>
        <v/>
      </c>
      <c r="G284" s="62"/>
      <c r="H284" s="64"/>
    </row>
    <row r="285" spans="1:8">
      <c r="A285" s="47" t="s">
        <v>18</v>
      </c>
      <c r="B285" s="59">
        <v>0.85</v>
      </c>
      <c r="C285" s="60">
        <v>2</v>
      </c>
      <c r="D285" s="61">
        <v>1.7000000000000001E-2</v>
      </c>
      <c r="E285" s="62"/>
      <c r="F285" s="63" t="str">
        <f t="shared" si="12"/>
        <v/>
      </c>
      <c r="G285" s="62"/>
      <c r="H285" s="64"/>
    </row>
    <row r="286" spans="1:8">
      <c r="A286" s="47" t="s">
        <v>19</v>
      </c>
      <c r="B286" s="59">
        <v>0.82</v>
      </c>
      <c r="C286" s="60">
        <v>3</v>
      </c>
      <c r="D286" s="61">
        <v>2.5000000000000001E-2</v>
      </c>
      <c r="E286" s="62"/>
      <c r="F286" s="63" t="str">
        <f t="shared" si="12"/>
        <v/>
      </c>
      <c r="G286" s="62"/>
      <c r="H286" s="64"/>
    </row>
    <row r="287" spans="1:8">
      <c r="A287" s="47" t="s">
        <v>20</v>
      </c>
      <c r="B287" s="59">
        <v>0.8</v>
      </c>
      <c r="C287" s="60">
        <v>1</v>
      </c>
      <c r="D287" s="61">
        <v>8.0000000000000002E-3</v>
      </c>
      <c r="E287" s="62"/>
      <c r="F287" s="63" t="str">
        <f t="shared" si="12"/>
        <v/>
      </c>
      <c r="G287" s="62"/>
      <c r="H287" s="64"/>
    </row>
    <row r="288" spans="1:8">
      <c r="A288" s="47" t="s">
        <v>21</v>
      </c>
      <c r="B288" s="59">
        <v>0.78</v>
      </c>
      <c r="C288" s="60">
        <v>3</v>
      </c>
      <c r="D288" s="61">
        <v>2.3E-2</v>
      </c>
      <c r="E288" s="62"/>
      <c r="F288" s="63" t="str">
        <f t="shared" si="12"/>
        <v/>
      </c>
      <c r="G288" s="62"/>
      <c r="H288" s="64"/>
    </row>
    <row r="289" spans="1:8">
      <c r="A289" s="47" t="s">
        <v>22</v>
      </c>
      <c r="B289" s="59">
        <v>0.7</v>
      </c>
      <c r="C289" s="60">
        <v>2</v>
      </c>
      <c r="D289" s="61">
        <v>1.4E-2</v>
      </c>
      <c r="E289" s="62"/>
      <c r="F289" s="63" t="str">
        <f t="shared" si="12"/>
        <v/>
      </c>
      <c r="G289" s="62"/>
      <c r="H289" s="64"/>
    </row>
    <row r="290" spans="1:8">
      <c r="A290" s="47" t="s">
        <v>23</v>
      </c>
      <c r="B290" s="59">
        <v>0.65</v>
      </c>
      <c r="C290" s="60">
        <v>8</v>
      </c>
      <c r="D290" s="61">
        <v>5.1999999999999998E-2</v>
      </c>
      <c r="E290" s="62"/>
      <c r="F290" s="63" t="str">
        <f t="shared" si="12"/>
        <v/>
      </c>
      <c r="G290" s="62"/>
      <c r="H290" s="64"/>
    </row>
    <row r="291" spans="1:8">
      <c r="A291" s="47" t="s">
        <v>24</v>
      </c>
      <c r="B291" s="59">
        <v>0.75</v>
      </c>
      <c r="C291" s="65">
        <v>0</v>
      </c>
      <c r="D291" s="61">
        <v>0</v>
      </c>
      <c r="E291" s="62"/>
      <c r="F291" s="63" t="str">
        <f t="shared" si="12"/>
        <v/>
      </c>
      <c r="G291" s="62"/>
      <c r="H291" s="64"/>
    </row>
    <row r="292" spans="1:8">
      <c r="A292" s="47" t="s">
        <v>25</v>
      </c>
      <c r="B292" s="59">
        <v>0.55000000000000004</v>
      </c>
      <c r="C292" s="60">
        <v>2</v>
      </c>
      <c r="D292" s="61">
        <v>1.0999999999999999E-2</v>
      </c>
      <c r="E292" s="62"/>
      <c r="F292" s="63" t="str">
        <f t="shared" si="12"/>
        <v/>
      </c>
      <c r="G292" s="62"/>
      <c r="H292" s="64"/>
    </row>
    <row r="293" spans="1:8">
      <c r="A293" s="47" t="s">
        <v>26</v>
      </c>
      <c r="B293" s="59">
        <v>0.5</v>
      </c>
      <c r="C293" s="65">
        <v>0</v>
      </c>
      <c r="D293" s="61">
        <v>0</v>
      </c>
      <c r="E293" s="62"/>
      <c r="F293" s="63" t="str">
        <f t="shared" si="12"/>
        <v/>
      </c>
      <c r="G293" s="62"/>
      <c r="H293" s="64"/>
    </row>
    <row r="294" spans="1:8">
      <c r="A294" s="47" t="s">
        <v>27</v>
      </c>
      <c r="B294" s="59">
        <v>0.35</v>
      </c>
      <c r="C294" s="60">
        <v>3</v>
      </c>
      <c r="D294" s="61">
        <v>0.01</v>
      </c>
      <c r="E294" s="62"/>
      <c r="F294" s="63" t="str">
        <f t="shared" si="12"/>
        <v/>
      </c>
      <c r="G294" s="62"/>
      <c r="H294" s="64"/>
    </row>
    <row r="295" spans="1:8">
      <c r="A295" s="47" t="s">
        <v>28</v>
      </c>
      <c r="B295" s="59">
        <v>0.25</v>
      </c>
      <c r="C295" s="60">
        <v>1</v>
      </c>
      <c r="D295" s="61">
        <v>3.0000000000000001E-3</v>
      </c>
      <c r="E295" s="62"/>
      <c r="F295" s="63" t="str">
        <f t="shared" si="12"/>
        <v/>
      </c>
      <c r="G295" s="62"/>
      <c r="H295" s="64"/>
    </row>
    <row r="296" spans="1:8">
      <c r="A296" s="47" t="s">
        <v>29</v>
      </c>
      <c r="B296" s="59">
        <v>0.35</v>
      </c>
      <c r="C296" s="60">
        <v>3</v>
      </c>
      <c r="D296" s="61">
        <v>0.01</v>
      </c>
      <c r="E296" s="62"/>
      <c r="F296" s="63" t="str">
        <f t="shared" si="12"/>
        <v/>
      </c>
      <c r="G296" s="62"/>
      <c r="H296" s="64"/>
    </row>
    <row r="297" spans="1:8">
      <c r="A297" s="47" t="s">
        <v>30</v>
      </c>
      <c r="B297" s="59">
        <v>0.2</v>
      </c>
      <c r="C297" s="60">
        <v>2</v>
      </c>
      <c r="D297" s="61">
        <v>4.0000000000000001E-3</v>
      </c>
      <c r="E297" s="62"/>
      <c r="F297" s="63" t="str">
        <f t="shared" si="12"/>
        <v/>
      </c>
      <c r="G297" s="62"/>
      <c r="H297" s="64"/>
    </row>
    <row r="298" spans="1:8">
      <c r="A298" s="47" t="s">
        <v>31</v>
      </c>
      <c r="B298" s="59">
        <v>0.08</v>
      </c>
      <c r="C298" s="60">
        <v>50</v>
      </c>
      <c r="D298" s="61">
        <v>0.04</v>
      </c>
      <c r="E298" s="62"/>
      <c r="F298" s="63" t="str">
        <f t="shared" si="12"/>
        <v/>
      </c>
      <c r="G298" s="62"/>
      <c r="H298" s="64"/>
    </row>
    <row r="299" spans="1:8">
      <c r="A299" s="47" t="s">
        <v>32</v>
      </c>
      <c r="B299" s="59">
        <v>0.1</v>
      </c>
      <c r="C299" s="60">
        <v>5</v>
      </c>
      <c r="D299" s="61">
        <v>5.0000000000000001E-3</v>
      </c>
      <c r="E299" s="62"/>
      <c r="F299" s="63" t="str">
        <f t="shared" si="12"/>
        <v/>
      </c>
      <c r="G299" s="62"/>
      <c r="H299" s="64"/>
    </row>
    <row r="300" spans="1:8">
      <c r="A300" s="47" t="s">
        <v>33</v>
      </c>
      <c r="B300" s="59">
        <v>0.05</v>
      </c>
      <c r="C300" s="60">
        <v>7</v>
      </c>
      <c r="D300" s="61">
        <v>4.0000000000000001E-3</v>
      </c>
      <c r="E300" s="62"/>
      <c r="F300" s="63" t="str">
        <f t="shared" si="12"/>
        <v/>
      </c>
      <c r="G300" s="62"/>
      <c r="H300" s="64"/>
    </row>
    <row r="301" spans="1:8">
      <c r="A301" s="66" t="s">
        <v>34</v>
      </c>
      <c r="C301" s="67">
        <v>100</v>
      </c>
      <c r="D301" s="68">
        <v>0.29799999999999999</v>
      </c>
      <c r="E301" s="69">
        <f>SUM(E283:E300)</f>
        <v>0</v>
      </c>
      <c r="F301" s="70">
        <f>SUM(F283:F300)</f>
        <v>0</v>
      </c>
    </row>
    <row r="303" spans="1:8">
      <c r="A303" s="87" t="s">
        <v>104</v>
      </c>
      <c r="B303" s="85"/>
      <c r="C303" s="85"/>
      <c r="D303" s="85"/>
      <c r="E303" s="56" t="s">
        <v>105</v>
      </c>
      <c r="F303" s="57" t="s">
        <v>106</v>
      </c>
      <c r="G303" s="57" t="s">
        <v>107</v>
      </c>
      <c r="H303" s="57" t="s">
        <v>108</v>
      </c>
    </row>
    <row r="304" spans="1:8">
      <c r="A304" s="88" t="s">
        <v>109</v>
      </c>
      <c r="B304" s="85"/>
      <c r="C304" s="85"/>
      <c r="D304" s="85"/>
      <c r="E304" s="85"/>
      <c r="F304" s="85"/>
      <c r="G304" s="85"/>
      <c r="H304" s="85"/>
    </row>
    <row r="305" spans="1:8">
      <c r="A305" s="58" t="s">
        <v>8</v>
      </c>
      <c r="B305" s="58" t="s">
        <v>9</v>
      </c>
      <c r="C305" s="58" t="s">
        <v>10</v>
      </c>
      <c r="D305" s="58" t="s">
        <v>11</v>
      </c>
      <c r="E305" s="58" t="s">
        <v>12</v>
      </c>
      <c r="F305" s="58" t="s">
        <v>13</v>
      </c>
      <c r="G305" s="58" t="s">
        <v>14</v>
      </c>
      <c r="H305" s="58" t="s">
        <v>15</v>
      </c>
    </row>
    <row r="306" spans="1:8">
      <c r="A306" s="47" t="s">
        <v>16</v>
      </c>
      <c r="B306" s="59">
        <v>0.92</v>
      </c>
      <c r="C306" s="60">
        <v>5</v>
      </c>
      <c r="D306" s="61">
        <v>4.5999999999999999E-2</v>
      </c>
      <c r="E306" s="62"/>
      <c r="F306" s="63" t="str">
        <f t="shared" ref="F306:F323" si="13">IF(E306="","",(E306*B306/100))</f>
        <v/>
      </c>
      <c r="G306" s="62"/>
      <c r="H306" s="64"/>
    </row>
    <row r="307" spans="1:8">
      <c r="A307" s="47" t="s">
        <v>17</v>
      </c>
      <c r="B307" s="59">
        <v>0.88</v>
      </c>
      <c r="C307" s="60">
        <v>3</v>
      </c>
      <c r="D307" s="61">
        <v>2.5999999999999999E-2</v>
      </c>
      <c r="E307" s="62"/>
      <c r="F307" s="63" t="str">
        <f t="shared" si="13"/>
        <v/>
      </c>
      <c r="G307" s="62"/>
      <c r="H307" s="64"/>
    </row>
    <row r="308" spans="1:8">
      <c r="A308" s="47" t="s">
        <v>18</v>
      </c>
      <c r="B308" s="59">
        <v>0.85</v>
      </c>
      <c r="C308" s="60">
        <v>2</v>
      </c>
      <c r="D308" s="61">
        <v>1.7000000000000001E-2</v>
      </c>
      <c r="E308" s="62"/>
      <c r="F308" s="63" t="str">
        <f t="shared" si="13"/>
        <v/>
      </c>
      <c r="G308" s="62"/>
      <c r="H308" s="64"/>
    </row>
    <row r="309" spans="1:8">
      <c r="A309" s="47" t="s">
        <v>19</v>
      </c>
      <c r="B309" s="59">
        <v>0.82</v>
      </c>
      <c r="C309" s="60">
        <v>3</v>
      </c>
      <c r="D309" s="61">
        <v>2.5000000000000001E-2</v>
      </c>
      <c r="E309" s="62"/>
      <c r="F309" s="63" t="str">
        <f t="shared" si="13"/>
        <v/>
      </c>
      <c r="G309" s="62"/>
      <c r="H309" s="64"/>
    </row>
    <row r="310" spans="1:8">
      <c r="A310" s="47" t="s">
        <v>20</v>
      </c>
      <c r="B310" s="59">
        <v>0.8</v>
      </c>
      <c r="C310" s="60">
        <v>3</v>
      </c>
      <c r="D310" s="61">
        <v>2.4E-2</v>
      </c>
      <c r="E310" s="62"/>
      <c r="F310" s="63" t="str">
        <f t="shared" si="13"/>
        <v/>
      </c>
      <c r="G310" s="62"/>
      <c r="H310" s="64"/>
    </row>
    <row r="311" spans="1:8">
      <c r="A311" s="47" t="s">
        <v>21</v>
      </c>
      <c r="B311" s="59">
        <v>0.78</v>
      </c>
      <c r="C311" s="60">
        <v>5</v>
      </c>
      <c r="D311" s="61">
        <v>3.9E-2</v>
      </c>
      <c r="E311" s="62"/>
      <c r="F311" s="63" t="str">
        <f t="shared" si="13"/>
        <v/>
      </c>
      <c r="G311" s="62"/>
      <c r="H311" s="64"/>
    </row>
    <row r="312" spans="1:8">
      <c r="A312" s="47" t="s">
        <v>22</v>
      </c>
      <c r="B312" s="59">
        <v>0.7</v>
      </c>
      <c r="C312" s="60">
        <v>1</v>
      </c>
      <c r="D312" s="61">
        <v>7.0000000000000001E-3</v>
      </c>
      <c r="E312" s="62"/>
      <c r="F312" s="63" t="str">
        <f t="shared" si="13"/>
        <v/>
      </c>
      <c r="G312" s="62"/>
      <c r="H312" s="64"/>
    </row>
    <row r="313" spans="1:8">
      <c r="A313" s="47" t="s">
        <v>23</v>
      </c>
      <c r="B313" s="59">
        <v>0.65</v>
      </c>
      <c r="C313" s="60">
        <v>30</v>
      </c>
      <c r="D313" s="61">
        <v>0.19500000000000001</v>
      </c>
      <c r="E313" s="62"/>
      <c r="F313" s="63" t="str">
        <f t="shared" si="13"/>
        <v/>
      </c>
      <c r="G313" s="62"/>
      <c r="H313" s="64"/>
    </row>
    <row r="314" spans="1:8">
      <c r="A314" s="47" t="s">
        <v>24</v>
      </c>
      <c r="B314" s="59">
        <v>0.75</v>
      </c>
      <c r="C314" s="65">
        <v>0</v>
      </c>
      <c r="D314" s="61">
        <v>0</v>
      </c>
      <c r="E314" s="62"/>
      <c r="F314" s="63" t="str">
        <f t="shared" si="13"/>
        <v/>
      </c>
      <c r="G314" s="62"/>
      <c r="H314" s="64"/>
    </row>
    <row r="315" spans="1:8">
      <c r="A315" s="47" t="s">
        <v>25</v>
      </c>
      <c r="B315" s="59">
        <v>0.55000000000000004</v>
      </c>
      <c r="C315" s="60">
        <v>2</v>
      </c>
      <c r="D315" s="61">
        <v>1.0999999999999999E-2</v>
      </c>
      <c r="E315" s="62"/>
      <c r="F315" s="63" t="str">
        <f t="shared" si="13"/>
        <v/>
      </c>
      <c r="G315" s="62"/>
      <c r="H315" s="64"/>
    </row>
    <row r="316" spans="1:8">
      <c r="A316" s="47" t="s">
        <v>26</v>
      </c>
      <c r="B316" s="59">
        <v>0.5</v>
      </c>
      <c r="C316" s="60">
        <v>2</v>
      </c>
      <c r="D316" s="61">
        <v>0.01</v>
      </c>
      <c r="E316" s="62"/>
      <c r="F316" s="63" t="str">
        <f t="shared" si="13"/>
        <v/>
      </c>
      <c r="G316" s="62"/>
      <c r="H316" s="64"/>
    </row>
    <row r="317" spans="1:8">
      <c r="A317" s="47" t="s">
        <v>27</v>
      </c>
      <c r="B317" s="59">
        <v>0.35</v>
      </c>
      <c r="C317" s="60">
        <v>2</v>
      </c>
      <c r="D317" s="61">
        <v>7.0000000000000001E-3</v>
      </c>
      <c r="E317" s="62"/>
      <c r="F317" s="63" t="str">
        <f t="shared" si="13"/>
        <v/>
      </c>
      <c r="G317" s="62"/>
      <c r="H317" s="64"/>
    </row>
    <row r="318" spans="1:8">
      <c r="A318" s="47" t="s">
        <v>28</v>
      </c>
      <c r="B318" s="59">
        <v>0.25</v>
      </c>
      <c r="C318" s="60">
        <v>8</v>
      </c>
      <c r="D318" s="61">
        <v>0.02</v>
      </c>
      <c r="E318" s="62"/>
      <c r="F318" s="63" t="str">
        <f t="shared" si="13"/>
        <v/>
      </c>
      <c r="G318" s="62"/>
      <c r="H318" s="64"/>
    </row>
    <row r="319" spans="1:8">
      <c r="A319" s="47" t="s">
        <v>29</v>
      </c>
      <c r="B319" s="59">
        <v>0.35</v>
      </c>
      <c r="C319" s="60">
        <v>2</v>
      </c>
      <c r="D319" s="61">
        <v>7.0000000000000001E-3</v>
      </c>
      <c r="E319" s="62"/>
      <c r="F319" s="63" t="str">
        <f t="shared" si="13"/>
        <v/>
      </c>
      <c r="G319" s="62"/>
      <c r="H319" s="64"/>
    </row>
    <row r="320" spans="1:8">
      <c r="A320" s="47" t="s">
        <v>30</v>
      </c>
      <c r="B320" s="59">
        <v>0.2</v>
      </c>
      <c r="C320" s="60">
        <v>2</v>
      </c>
      <c r="D320" s="61">
        <v>4.0000000000000001E-3</v>
      </c>
      <c r="E320" s="62"/>
      <c r="F320" s="63" t="str">
        <f t="shared" si="13"/>
        <v/>
      </c>
      <c r="G320" s="62"/>
      <c r="H320" s="64"/>
    </row>
    <row r="321" spans="1:8">
      <c r="A321" s="47" t="s">
        <v>31</v>
      </c>
      <c r="B321" s="59">
        <v>0.08</v>
      </c>
      <c r="C321" s="65">
        <v>0</v>
      </c>
      <c r="D321" s="61">
        <v>0</v>
      </c>
      <c r="E321" s="62"/>
      <c r="F321" s="63" t="str">
        <f t="shared" si="13"/>
        <v/>
      </c>
      <c r="G321" s="62"/>
      <c r="H321" s="64"/>
    </row>
    <row r="322" spans="1:8">
      <c r="A322" s="47" t="s">
        <v>32</v>
      </c>
      <c r="B322" s="59">
        <v>0.1</v>
      </c>
      <c r="C322" s="60">
        <v>15</v>
      </c>
      <c r="D322" s="61">
        <v>1.4999999999999999E-2</v>
      </c>
      <c r="E322" s="62"/>
      <c r="F322" s="63" t="str">
        <f t="shared" si="13"/>
        <v/>
      </c>
      <c r="G322" s="62"/>
      <c r="H322" s="64"/>
    </row>
    <row r="323" spans="1:8">
      <c r="A323" s="47" t="s">
        <v>33</v>
      </c>
      <c r="B323" s="59">
        <v>0.05</v>
      </c>
      <c r="C323" s="60">
        <v>15</v>
      </c>
      <c r="D323" s="61">
        <v>7.0000000000000001E-3</v>
      </c>
      <c r="E323" s="62"/>
      <c r="F323" s="63" t="str">
        <f t="shared" si="13"/>
        <v/>
      </c>
      <c r="G323" s="62"/>
      <c r="H323" s="64"/>
    </row>
    <row r="324" spans="1:8">
      <c r="A324" s="66" t="s">
        <v>34</v>
      </c>
      <c r="C324" s="67">
        <v>100</v>
      </c>
      <c r="D324" s="68">
        <v>0.46100000000000002</v>
      </c>
      <c r="E324" s="69">
        <f>SUM(E306:E323)</f>
        <v>0</v>
      </c>
      <c r="F324" s="70">
        <f>SUM(F306:F323)</f>
        <v>0</v>
      </c>
    </row>
    <row r="326" spans="1:8">
      <c r="A326" s="87" t="s">
        <v>110</v>
      </c>
      <c r="B326" s="85"/>
      <c r="C326" s="85"/>
      <c r="D326" s="85"/>
      <c r="E326" s="56" t="s">
        <v>111</v>
      </c>
      <c r="F326" s="57" t="s">
        <v>76</v>
      </c>
      <c r="G326" s="57" t="s">
        <v>112</v>
      </c>
      <c r="H326" s="57" t="s">
        <v>78</v>
      </c>
    </row>
    <row r="327" spans="1:8">
      <c r="A327" s="88" t="s">
        <v>113</v>
      </c>
      <c r="B327" s="85"/>
      <c r="C327" s="85"/>
      <c r="D327" s="85"/>
      <c r="E327" s="85"/>
      <c r="F327" s="85"/>
      <c r="G327" s="85"/>
      <c r="H327" s="85"/>
    </row>
    <row r="328" spans="1:8">
      <c r="A328" s="58" t="s">
        <v>8</v>
      </c>
      <c r="B328" s="58" t="s">
        <v>9</v>
      </c>
      <c r="C328" s="58" t="s">
        <v>10</v>
      </c>
      <c r="D328" s="58" t="s">
        <v>11</v>
      </c>
      <c r="E328" s="58" t="s">
        <v>12</v>
      </c>
      <c r="F328" s="58" t="s">
        <v>13</v>
      </c>
      <c r="G328" s="58" t="s">
        <v>14</v>
      </c>
      <c r="H328" s="58" t="s">
        <v>15</v>
      </c>
    </row>
    <row r="329" spans="1:8">
      <c r="A329" s="47" t="s">
        <v>16</v>
      </c>
      <c r="B329" s="59">
        <v>0.92</v>
      </c>
      <c r="C329" s="60">
        <v>10</v>
      </c>
      <c r="D329" s="61">
        <v>9.1999999999999998E-2</v>
      </c>
      <c r="E329" s="62"/>
      <c r="F329" s="63" t="str">
        <f t="shared" ref="F329:F346" si="14">IF(E329="","",(E329*B329/100))</f>
        <v/>
      </c>
      <c r="G329" s="62"/>
      <c r="H329" s="64"/>
    </row>
    <row r="330" spans="1:8">
      <c r="A330" s="47" t="s">
        <v>17</v>
      </c>
      <c r="B330" s="59">
        <v>0.88</v>
      </c>
      <c r="C330" s="60">
        <v>10</v>
      </c>
      <c r="D330" s="61">
        <v>8.7999999999999995E-2</v>
      </c>
      <c r="E330" s="62"/>
      <c r="F330" s="63" t="str">
        <f t="shared" si="14"/>
        <v/>
      </c>
      <c r="G330" s="62"/>
      <c r="H330" s="64"/>
    </row>
    <row r="331" spans="1:8">
      <c r="A331" s="47" t="s">
        <v>18</v>
      </c>
      <c r="B331" s="59">
        <v>0.85</v>
      </c>
      <c r="C331" s="60">
        <v>5</v>
      </c>
      <c r="D331" s="61">
        <v>4.2999999999999997E-2</v>
      </c>
      <c r="E331" s="62"/>
      <c r="F331" s="63" t="str">
        <f t="shared" si="14"/>
        <v/>
      </c>
      <c r="G331" s="62"/>
      <c r="H331" s="64"/>
    </row>
    <row r="332" spans="1:8">
      <c r="A332" s="47" t="s">
        <v>19</v>
      </c>
      <c r="B332" s="59">
        <v>0.82</v>
      </c>
      <c r="C332" s="60">
        <v>3</v>
      </c>
      <c r="D332" s="61">
        <v>2.5000000000000001E-2</v>
      </c>
      <c r="E332" s="62"/>
      <c r="F332" s="63" t="str">
        <f t="shared" si="14"/>
        <v/>
      </c>
      <c r="G332" s="62"/>
      <c r="H332" s="64"/>
    </row>
    <row r="333" spans="1:8">
      <c r="A333" s="47" t="s">
        <v>20</v>
      </c>
      <c r="B333" s="59">
        <v>0.8</v>
      </c>
      <c r="C333" s="60">
        <v>3</v>
      </c>
      <c r="D333" s="61">
        <v>2.4E-2</v>
      </c>
      <c r="E333" s="62"/>
      <c r="F333" s="63" t="str">
        <f t="shared" si="14"/>
        <v/>
      </c>
      <c r="G333" s="62"/>
      <c r="H333" s="64"/>
    </row>
    <row r="334" spans="1:8">
      <c r="A334" s="47" t="s">
        <v>21</v>
      </c>
      <c r="B334" s="59">
        <v>0.78</v>
      </c>
      <c r="C334" s="60">
        <v>10</v>
      </c>
      <c r="D334" s="61">
        <v>7.8E-2</v>
      </c>
      <c r="E334" s="62"/>
      <c r="F334" s="63" t="str">
        <f t="shared" si="14"/>
        <v/>
      </c>
      <c r="G334" s="62"/>
      <c r="H334" s="64"/>
    </row>
    <row r="335" spans="1:8">
      <c r="A335" s="47" t="s">
        <v>22</v>
      </c>
      <c r="B335" s="59">
        <v>0.7</v>
      </c>
      <c r="C335" s="60">
        <v>3</v>
      </c>
      <c r="D335" s="61">
        <v>2.1000000000000001E-2</v>
      </c>
      <c r="E335" s="62"/>
      <c r="F335" s="63" t="str">
        <f t="shared" si="14"/>
        <v/>
      </c>
      <c r="G335" s="62"/>
      <c r="H335" s="64"/>
    </row>
    <row r="336" spans="1:8">
      <c r="A336" s="47" t="s">
        <v>23</v>
      </c>
      <c r="B336" s="59">
        <v>0.65</v>
      </c>
      <c r="C336" s="60">
        <v>40</v>
      </c>
      <c r="D336" s="61">
        <v>0.26</v>
      </c>
      <c r="E336" s="62"/>
      <c r="F336" s="63" t="str">
        <f t="shared" si="14"/>
        <v/>
      </c>
      <c r="G336" s="62"/>
      <c r="H336" s="64"/>
    </row>
    <row r="337" spans="1:8">
      <c r="A337" s="47" t="s">
        <v>24</v>
      </c>
      <c r="B337" s="59">
        <v>0.75</v>
      </c>
      <c r="C337" s="65">
        <v>0</v>
      </c>
      <c r="D337" s="61">
        <v>0</v>
      </c>
      <c r="E337" s="62"/>
      <c r="F337" s="63" t="str">
        <f t="shared" si="14"/>
        <v/>
      </c>
      <c r="G337" s="62"/>
      <c r="H337" s="64"/>
    </row>
    <row r="338" spans="1:8">
      <c r="A338" s="47" t="s">
        <v>25</v>
      </c>
      <c r="B338" s="59">
        <v>0.55000000000000004</v>
      </c>
      <c r="C338" s="60">
        <v>2</v>
      </c>
      <c r="D338" s="61">
        <v>1.0999999999999999E-2</v>
      </c>
      <c r="E338" s="62"/>
      <c r="F338" s="63" t="str">
        <f t="shared" si="14"/>
        <v/>
      </c>
      <c r="G338" s="62"/>
      <c r="H338" s="64"/>
    </row>
    <row r="339" spans="1:8">
      <c r="A339" s="47" t="s">
        <v>26</v>
      </c>
      <c r="B339" s="59">
        <v>0.5</v>
      </c>
      <c r="C339" s="65">
        <v>0</v>
      </c>
      <c r="D339" s="61">
        <v>0</v>
      </c>
      <c r="E339" s="62"/>
      <c r="F339" s="63" t="str">
        <f t="shared" si="14"/>
        <v/>
      </c>
      <c r="G339" s="62"/>
      <c r="H339" s="64"/>
    </row>
    <row r="340" spans="1:8">
      <c r="A340" s="47" t="s">
        <v>27</v>
      </c>
      <c r="B340" s="59">
        <v>0.35</v>
      </c>
      <c r="C340" s="60">
        <v>2</v>
      </c>
      <c r="D340" s="61">
        <v>7.0000000000000001E-3</v>
      </c>
      <c r="E340" s="62"/>
      <c r="F340" s="63" t="str">
        <f t="shared" si="14"/>
        <v/>
      </c>
      <c r="G340" s="62"/>
      <c r="H340" s="64"/>
    </row>
    <row r="341" spans="1:8">
      <c r="A341" s="47" t="s">
        <v>28</v>
      </c>
      <c r="B341" s="59">
        <v>0.25</v>
      </c>
      <c r="C341" s="60">
        <v>3</v>
      </c>
      <c r="D341" s="61">
        <v>7.0000000000000001E-3</v>
      </c>
      <c r="E341" s="62"/>
      <c r="F341" s="63" t="str">
        <f t="shared" si="14"/>
        <v/>
      </c>
      <c r="G341" s="62"/>
      <c r="H341" s="64"/>
    </row>
    <row r="342" spans="1:8">
      <c r="A342" s="47" t="s">
        <v>29</v>
      </c>
      <c r="B342" s="59">
        <v>0.35</v>
      </c>
      <c r="C342" s="60">
        <v>2</v>
      </c>
      <c r="D342" s="61">
        <v>7.0000000000000001E-3</v>
      </c>
      <c r="E342" s="62"/>
      <c r="F342" s="63" t="str">
        <f t="shared" si="14"/>
        <v/>
      </c>
      <c r="G342" s="62"/>
      <c r="H342" s="64"/>
    </row>
    <row r="343" spans="1:8">
      <c r="A343" s="47" t="s">
        <v>30</v>
      </c>
      <c r="B343" s="59">
        <v>0.2</v>
      </c>
      <c r="C343" s="60">
        <v>2</v>
      </c>
      <c r="D343" s="61">
        <v>4.0000000000000001E-3</v>
      </c>
      <c r="E343" s="62"/>
      <c r="F343" s="63" t="str">
        <f t="shared" si="14"/>
        <v/>
      </c>
      <c r="G343" s="62"/>
      <c r="H343" s="64"/>
    </row>
    <row r="344" spans="1:8">
      <c r="A344" s="47" t="s">
        <v>31</v>
      </c>
      <c r="B344" s="59">
        <v>0.08</v>
      </c>
      <c r="C344" s="65">
        <v>0</v>
      </c>
      <c r="D344" s="61">
        <v>0</v>
      </c>
      <c r="E344" s="62"/>
      <c r="F344" s="63" t="str">
        <f t="shared" si="14"/>
        <v/>
      </c>
      <c r="G344" s="62"/>
      <c r="H344" s="64"/>
    </row>
    <row r="345" spans="1:8">
      <c r="A345" s="47" t="s">
        <v>32</v>
      </c>
      <c r="B345" s="59">
        <v>0.1</v>
      </c>
      <c r="C345" s="60">
        <v>3</v>
      </c>
      <c r="D345" s="61">
        <v>3.0000000000000001E-3</v>
      </c>
      <c r="E345" s="62"/>
      <c r="F345" s="63" t="str">
        <f t="shared" si="14"/>
        <v/>
      </c>
      <c r="G345" s="62"/>
      <c r="H345" s="64"/>
    </row>
    <row r="346" spans="1:8">
      <c r="A346" s="47" t="s">
        <v>33</v>
      </c>
      <c r="B346" s="59">
        <v>0.05</v>
      </c>
      <c r="C346" s="60">
        <v>2</v>
      </c>
      <c r="D346" s="61">
        <v>1E-3</v>
      </c>
      <c r="E346" s="62"/>
      <c r="F346" s="63" t="str">
        <f t="shared" si="14"/>
        <v/>
      </c>
      <c r="G346" s="62"/>
      <c r="H346" s="64"/>
    </row>
    <row r="347" spans="1:8">
      <c r="A347" s="66" t="s">
        <v>34</v>
      </c>
      <c r="C347" s="67">
        <v>100</v>
      </c>
      <c r="D347" s="68">
        <v>0.67100000000000004</v>
      </c>
      <c r="E347" s="69">
        <f>SUM(E329:E346)</f>
        <v>0</v>
      </c>
      <c r="F347" s="70">
        <f>SUM(F329:F346)</f>
        <v>0</v>
      </c>
    </row>
    <row r="349" spans="1:8">
      <c r="A349" s="87" t="s">
        <v>114</v>
      </c>
      <c r="B349" s="85"/>
      <c r="C349" s="85"/>
      <c r="D349" s="85"/>
      <c r="E349" s="56" t="s">
        <v>115</v>
      </c>
      <c r="F349" s="57" t="s">
        <v>116</v>
      </c>
      <c r="G349" s="57" t="s">
        <v>117</v>
      </c>
      <c r="H349" s="57" t="s">
        <v>118</v>
      </c>
    </row>
    <row r="350" spans="1:8">
      <c r="A350" s="88" t="s">
        <v>119</v>
      </c>
      <c r="B350" s="85"/>
      <c r="C350" s="85"/>
      <c r="D350" s="85"/>
      <c r="E350" s="85"/>
      <c r="F350" s="85"/>
      <c r="G350" s="85"/>
      <c r="H350" s="85"/>
    </row>
    <row r="351" spans="1:8">
      <c r="A351" s="58" t="s">
        <v>8</v>
      </c>
      <c r="B351" s="58" t="s">
        <v>9</v>
      </c>
      <c r="C351" s="58" t="s">
        <v>10</v>
      </c>
      <c r="D351" s="58" t="s">
        <v>11</v>
      </c>
      <c r="E351" s="58" t="s">
        <v>12</v>
      </c>
      <c r="F351" s="58" t="s">
        <v>13</v>
      </c>
      <c r="G351" s="58" t="s">
        <v>14</v>
      </c>
      <c r="H351" s="58" t="s">
        <v>15</v>
      </c>
    </row>
    <row r="352" spans="1:8">
      <c r="A352" s="47" t="s">
        <v>16</v>
      </c>
      <c r="B352" s="59">
        <v>0.92</v>
      </c>
      <c r="C352" s="60">
        <v>3</v>
      </c>
      <c r="D352" s="61">
        <v>2.8000000000000001E-2</v>
      </c>
      <c r="E352" s="62"/>
      <c r="F352" s="63" t="str">
        <f t="shared" ref="F352:F369" si="15">IF(E352="","",(E352*B352/100))</f>
        <v/>
      </c>
      <c r="G352" s="62"/>
      <c r="H352" s="64"/>
    </row>
    <row r="353" spans="1:8">
      <c r="A353" s="47" t="s">
        <v>17</v>
      </c>
      <c r="B353" s="59">
        <v>0.88</v>
      </c>
      <c r="C353" s="60">
        <v>1</v>
      </c>
      <c r="D353" s="61">
        <v>8.9999999999999993E-3</v>
      </c>
      <c r="E353" s="62"/>
      <c r="F353" s="63" t="str">
        <f t="shared" si="15"/>
        <v/>
      </c>
      <c r="G353" s="62"/>
      <c r="H353" s="64"/>
    </row>
    <row r="354" spans="1:8">
      <c r="A354" s="47" t="s">
        <v>18</v>
      </c>
      <c r="B354" s="59">
        <v>0.85</v>
      </c>
      <c r="C354" s="60">
        <v>1</v>
      </c>
      <c r="D354" s="61">
        <v>8.9999999999999993E-3</v>
      </c>
      <c r="E354" s="62"/>
      <c r="F354" s="63" t="str">
        <f t="shared" si="15"/>
        <v/>
      </c>
      <c r="G354" s="62"/>
      <c r="H354" s="64"/>
    </row>
    <row r="355" spans="1:8">
      <c r="A355" s="47" t="s">
        <v>19</v>
      </c>
      <c r="B355" s="59">
        <v>0.82</v>
      </c>
      <c r="C355" s="60">
        <v>2</v>
      </c>
      <c r="D355" s="61">
        <v>1.6E-2</v>
      </c>
      <c r="E355" s="62"/>
      <c r="F355" s="63" t="str">
        <f t="shared" si="15"/>
        <v/>
      </c>
      <c r="G355" s="62"/>
      <c r="H355" s="64"/>
    </row>
    <row r="356" spans="1:8">
      <c r="A356" s="47" t="s">
        <v>20</v>
      </c>
      <c r="B356" s="59">
        <v>0.8</v>
      </c>
      <c r="C356" s="60">
        <v>2</v>
      </c>
      <c r="D356" s="61">
        <v>1.6E-2</v>
      </c>
      <c r="E356" s="62"/>
      <c r="F356" s="63" t="str">
        <f t="shared" si="15"/>
        <v/>
      </c>
      <c r="G356" s="62"/>
      <c r="H356" s="64"/>
    </row>
    <row r="357" spans="1:8">
      <c r="A357" s="47" t="s">
        <v>21</v>
      </c>
      <c r="B357" s="59">
        <v>0.78</v>
      </c>
      <c r="C357" s="60">
        <v>5</v>
      </c>
      <c r="D357" s="61">
        <v>3.9E-2</v>
      </c>
      <c r="E357" s="62"/>
      <c r="F357" s="63" t="str">
        <f t="shared" si="15"/>
        <v/>
      </c>
      <c r="G357" s="62"/>
      <c r="H357" s="64"/>
    </row>
    <row r="358" spans="1:8">
      <c r="A358" s="47" t="s">
        <v>22</v>
      </c>
      <c r="B358" s="59">
        <v>0.7</v>
      </c>
      <c r="C358" s="60">
        <v>1</v>
      </c>
      <c r="D358" s="61">
        <v>7.0000000000000001E-3</v>
      </c>
      <c r="E358" s="62"/>
      <c r="F358" s="63" t="str">
        <f t="shared" si="15"/>
        <v/>
      </c>
      <c r="G358" s="62"/>
      <c r="H358" s="64"/>
    </row>
    <row r="359" spans="1:8">
      <c r="A359" s="47" t="s">
        <v>23</v>
      </c>
      <c r="B359" s="59">
        <v>0.65</v>
      </c>
      <c r="C359" s="60">
        <v>2</v>
      </c>
      <c r="D359" s="61">
        <v>1.2999999999999999E-2</v>
      </c>
      <c r="E359" s="62"/>
      <c r="F359" s="63" t="str">
        <f t="shared" si="15"/>
        <v/>
      </c>
      <c r="G359" s="62"/>
      <c r="H359" s="64"/>
    </row>
    <row r="360" spans="1:8">
      <c r="A360" s="47" t="s">
        <v>24</v>
      </c>
      <c r="B360" s="59">
        <v>0.75</v>
      </c>
      <c r="C360" s="65">
        <v>0</v>
      </c>
      <c r="D360" s="61">
        <v>0</v>
      </c>
      <c r="E360" s="62"/>
      <c r="F360" s="63" t="str">
        <f t="shared" si="15"/>
        <v/>
      </c>
      <c r="G360" s="62"/>
      <c r="H360" s="64"/>
    </row>
    <row r="361" spans="1:8">
      <c r="A361" s="47" t="s">
        <v>25</v>
      </c>
      <c r="B361" s="59">
        <v>0.55000000000000004</v>
      </c>
      <c r="C361" s="60">
        <v>5</v>
      </c>
      <c r="D361" s="61">
        <v>2.8000000000000001E-2</v>
      </c>
      <c r="E361" s="62"/>
      <c r="F361" s="63" t="str">
        <f t="shared" si="15"/>
        <v/>
      </c>
      <c r="G361" s="62"/>
      <c r="H361" s="64"/>
    </row>
    <row r="362" spans="1:8">
      <c r="A362" s="47" t="s">
        <v>26</v>
      </c>
      <c r="B362" s="59">
        <v>0.5</v>
      </c>
      <c r="C362" s="65">
        <v>0</v>
      </c>
      <c r="D362" s="61">
        <v>0</v>
      </c>
      <c r="E362" s="62"/>
      <c r="F362" s="63" t="str">
        <f t="shared" si="15"/>
        <v/>
      </c>
      <c r="G362" s="62"/>
      <c r="H362" s="64"/>
    </row>
    <row r="363" spans="1:8">
      <c r="A363" s="47" t="s">
        <v>27</v>
      </c>
      <c r="B363" s="59">
        <v>0.35</v>
      </c>
      <c r="C363" s="60">
        <v>3</v>
      </c>
      <c r="D363" s="61">
        <v>0.01</v>
      </c>
      <c r="E363" s="62"/>
      <c r="F363" s="63" t="str">
        <f t="shared" si="15"/>
        <v/>
      </c>
      <c r="G363" s="62"/>
      <c r="H363" s="64"/>
    </row>
    <row r="364" spans="1:8">
      <c r="A364" s="47" t="s">
        <v>28</v>
      </c>
      <c r="B364" s="59">
        <v>0.25</v>
      </c>
      <c r="C364" s="60">
        <v>1</v>
      </c>
      <c r="D364" s="61">
        <v>3.0000000000000001E-3</v>
      </c>
      <c r="E364" s="62"/>
      <c r="F364" s="63" t="str">
        <f t="shared" si="15"/>
        <v/>
      </c>
      <c r="G364" s="62"/>
      <c r="H364" s="64"/>
    </row>
    <row r="365" spans="1:8">
      <c r="A365" s="47" t="s">
        <v>29</v>
      </c>
      <c r="B365" s="59">
        <v>0.35</v>
      </c>
      <c r="C365" s="60">
        <v>3</v>
      </c>
      <c r="D365" s="61">
        <v>0.01</v>
      </c>
      <c r="E365" s="62"/>
      <c r="F365" s="63" t="str">
        <f t="shared" si="15"/>
        <v/>
      </c>
      <c r="G365" s="62"/>
      <c r="H365" s="64"/>
    </row>
    <row r="366" spans="1:8">
      <c r="A366" s="47" t="s">
        <v>30</v>
      </c>
      <c r="B366" s="59">
        <v>0.2</v>
      </c>
      <c r="C366" s="60">
        <v>3</v>
      </c>
      <c r="D366" s="61">
        <v>6.0000000000000001E-3</v>
      </c>
      <c r="E366" s="62"/>
      <c r="F366" s="63" t="str">
        <f t="shared" si="15"/>
        <v/>
      </c>
      <c r="G366" s="62"/>
      <c r="H366" s="64"/>
    </row>
    <row r="367" spans="1:8">
      <c r="A367" s="47" t="s">
        <v>31</v>
      </c>
      <c r="B367" s="59">
        <v>0.08</v>
      </c>
      <c r="C367" s="65">
        <v>0</v>
      </c>
      <c r="D367" s="61">
        <v>0</v>
      </c>
      <c r="E367" s="62"/>
      <c r="F367" s="63" t="str">
        <f t="shared" si="15"/>
        <v/>
      </c>
      <c r="G367" s="62"/>
      <c r="H367" s="64"/>
    </row>
    <row r="368" spans="1:8">
      <c r="A368" s="47" t="s">
        <v>32</v>
      </c>
      <c r="B368" s="59">
        <v>0.1</v>
      </c>
      <c r="C368" s="60">
        <v>48</v>
      </c>
      <c r="D368" s="61">
        <v>4.8000000000000001E-2</v>
      </c>
      <c r="E368" s="62"/>
      <c r="F368" s="63" t="str">
        <f t="shared" si="15"/>
        <v/>
      </c>
      <c r="G368" s="62"/>
      <c r="H368" s="64"/>
    </row>
    <row r="369" spans="1:8">
      <c r="A369" s="47" t="s">
        <v>33</v>
      </c>
      <c r="B369" s="59">
        <v>0.05</v>
      </c>
      <c r="C369" s="60">
        <v>20</v>
      </c>
      <c r="D369" s="61">
        <v>0.01</v>
      </c>
      <c r="E369" s="62"/>
      <c r="F369" s="63" t="str">
        <f t="shared" si="15"/>
        <v/>
      </c>
      <c r="G369" s="62"/>
      <c r="H369" s="64"/>
    </row>
    <row r="370" spans="1:8">
      <c r="A370" s="66" t="s">
        <v>34</v>
      </c>
      <c r="C370" s="67">
        <v>100</v>
      </c>
      <c r="D370" s="68">
        <v>0.251</v>
      </c>
      <c r="E370" s="69">
        <f>SUM(E352:E369)</f>
        <v>0</v>
      </c>
      <c r="F370" s="70">
        <f>SUM(F352:F369)</f>
        <v>0</v>
      </c>
    </row>
    <row r="372" spans="1:8">
      <c r="A372" s="87" t="s">
        <v>120</v>
      </c>
      <c r="B372" s="85"/>
      <c r="C372" s="85"/>
      <c r="D372" s="85"/>
      <c r="E372" s="56" t="s">
        <v>121</v>
      </c>
      <c r="F372" s="57" t="s">
        <v>122</v>
      </c>
      <c r="G372" s="57" t="s">
        <v>123</v>
      </c>
      <c r="H372" s="57" t="s">
        <v>124</v>
      </c>
    </row>
    <row r="373" spans="1:8">
      <c r="A373" s="88" t="s">
        <v>125</v>
      </c>
      <c r="B373" s="85"/>
      <c r="C373" s="85"/>
      <c r="D373" s="85"/>
      <c r="E373" s="85"/>
      <c r="F373" s="85"/>
      <c r="G373" s="85"/>
      <c r="H373" s="85"/>
    </row>
    <row r="374" spans="1:8">
      <c r="A374" s="58" t="s">
        <v>8</v>
      </c>
      <c r="B374" s="58" t="s">
        <v>9</v>
      </c>
      <c r="C374" s="58" t="s">
        <v>10</v>
      </c>
      <c r="D374" s="58" t="s">
        <v>11</v>
      </c>
      <c r="E374" s="58" t="s">
        <v>12</v>
      </c>
      <c r="F374" s="58" t="s">
        <v>13</v>
      </c>
      <c r="G374" s="58" t="s">
        <v>14</v>
      </c>
      <c r="H374" s="58" t="s">
        <v>15</v>
      </c>
    </row>
    <row r="375" spans="1:8">
      <c r="A375" s="47" t="s">
        <v>16</v>
      </c>
      <c r="B375" s="59">
        <v>0.92</v>
      </c>
      <c r="C375" s="60">
        <v>2</v>
      </c>
      <c r="D375" s="61">
        <v>1.7999999999999999E-2</v>
      </c>
      <c r="E375" s="62"/>
      <c r="F375" s="63" t="str">
        <f t="shared" ref="F375:F392" si="16">IF(E375="","",(E375*B375/100))</f>
        <v/>
      </c>
      <c r="G375" s="62"/>
      <c r="H375" s="64"/>
    </row>
    <row r="376" spans="1:8">
      <c r="A376" s="47" t="s">
        <v>17</v>
      </c>
      <c r="B376" s="59">
        <v>0.88</v>
      </c>
      <c r="C376" s="60">
        <v>1</v>
      </c>
      <c r="D376" s="61">
        <v>8.9999999999999993E-3</v>
      </c>
      <c r="E376" s="62"/>
      <c r="F376" s="63" t="str">
        <f t="shared" si="16"/>
        <v/>
      </c>
      <c r="G376" s="62"/>
      <c r="H376" s="64"/>
    </row>
    <row r="377" spans="1:8">
      <c r="A377" s="47" t="s">
        <v>18</v>
      </c>
      <c r="B377" s="59">
        <v>0.85</v>
      </c>
      <c r="C377" s="60">
        <v>1</v>
      </c>
      <c r="D377" s="61">
        <v>8.9999999999999993E-3</v>
      </c>
      <c r="E377" s="62"/>
      <c r="F377" s="63" t="str">
        <f t="shared" si="16"/>
        <v/>
      </c>
      <c r="G377" s="62"/>
      <c r="H377" s="64"/>
    </row>
    <row r="378" spans="1:8">
      <c r="A378" s="47" t="s">
        <v>19</v>
      </c>
      <c r="B378" s="59">
        <v>0.82</v>
      </c>
      <c r="C378" s="60">
        <v>2</v>
      </c>
      <c r="D378" s="61">
        <v>1.6E-2</v>
      </c>
      <c r="E378" s="62"/>
      <c r="F378" s="63" t="str">
        <f t="shared" si="16"/>
        <v/>
      </c>
      <c r="G378" s="62"/>
      <c r="H378" s="64"/>
    </row>
    <row r="379" spans="1:8">
      <c r="A379" s="47" t="s">
        <v>20</v>
      </c>
      <c r="B379" s="59">
        <v>0.8</v>
      </c>
      <c r="C379" s="60">
        <v>1</v>
      </c>
      <c r="D379" s="61">
        <v>8.0000000000000002E-3</v>
      </c>
      <c r="E379" s="62"/>
      <c r="F379" s="63" t="str">
        <f t="shared" si="16"/>
        <v/>
      </c>
      <c r="G379" s="62"/>
      <c r="H379" s="64"/>
    </row>
    <row r="380" spans="1:8">
      <c r="A380" s="47" t="s">
        <v>21</v>
      </c>
      <c r="B380" s="59">
        <v>0.78</v>
      </c>
      <c r="C380" s="60">
        <v>1</v>
      </c>
      <c r="D380" s="61">
        <v>8.0000000000000002E-3</v>
      </c>
      <c r="E380" s="62"/>
      <c r="F380" s="63" t="str">
        <f t="shared" si="16"/>
        <v/>
      </c>
      <c r="G380" s="62"/>
      <c r="H380" s="64"/>
    </row>
    <row r="381" spans="1:8">
      <c r="A381" s="47" t="s">
        <v>22</v>
      </c>
      <c r="B381" s="59">
        <v>0.7</v>
      </c>
      <c r="C381" s="60">
        <v>1</v>
      </c>
      <c r="D381" s="61">
        <v>7.0000000000000001E-3</v>
      </c>
      <c r="E381" s="62"/>
      <c r="F381" s="63" t="str">
        <f t="shared" si="16"/>
        <v/>
      </c>
      <c r="G381" s="62"/>
      <c r="H381" s="64"/>
    </row>
    <row r="382" spans="1:8">
      <c r="A382" s="47" t="s">
        <v>23</v>
      </c>
      <c r="B382" s="59">
        <v>0.65</v>
      </c>
      <c r="C382" s="60">
        <v>5</v>
      </c>
      <c r="D382" s="61">
        <v>3.3000000000000002E-2</v>
      </c>
      <c r="E382" s="62"/>
      <c r="F382" s="63" t="str">
        <f t="shared" si="16"/>
        <v/>
      </c>
      <c r="G382" s="62"/>
      <c r="H382" s="64"/>
    </row>
    <row r="383" spans="1:8">
      <c r="A383" s="47" t="s">
        <v>24</v>
      </c>
      <c r="B383" s="59">
        <v>0.75</v>
      </c>
      <c r="C383" s="65">
        <v>0</v>
      </c>
      <c r="D383" s="61">
        <v>0</v>
      </c>
      <c r="E383" s="62"/>
      <c r="F383" s="63" t="str">
        <f t="shared" si="16"/>
        <v/>
      </c>
      <c r="G383" s="62"/>
      <c r="H383" s="64"/>
    </row>
    <row r="384" spans="1:8">
      <c r="A384" s="47" t="s">
        <v>25</v>
      </c>
      <c r="B384" s="59">
        <v>0.55000000000000004</v>
      </c>
      <c r="C384" s="60">
        <v>2</v>
      </c>
      <c r="D384" s="61">
        <v>1.0999999999999999E-2</v>
      </c>
      <c r="E384" s="62"/>
      <c r="F384" s="63" t="str">
        <f t="shared" si="16"/>
        <v/>
      </c>
      <c r="G384" s="62"/>
      <c r="H384" s="64"/>
    </row>
    <row r="385" spans="1:8">
      <c r="A385" s="47" t="s">
        <v>26</v>
      </c>
      <c r="B385" s="59">
        <v>0.5</v>
      </c>
      <c r="C385" s="65">
        <v>0</v>
      </c>
      <c r="D385" s="61">
        <v>0</v>
      </c>
      <c r="E385" s="62"/>
      <c r="F385" s="63" t="str">
        <f t="shared" si="16"/>
        <v/>
      </c>
      <c r="G385" s="62"/>
      <c r="H385" s="64"/>
    </row>
    <row r="386" spans="1:8">
      <c r="A386" s="47" t="s">
        <v>27</v>
      </c>
      <c r="B386" s="59">
        <v>0.35</v>
      </c>
      <c r="C386" s="60">
        <v>3</v>
      </c>
      <c r="D386" s="61">
        <v>0.01</v>
      </c>
      <c r="E386" s="62"/>
      <c r="F386" s="63" t="str">
        <f t="shared" si="16"/>
        <v/>
      </c>
      <c r="G386" s="62"/>
      <c r="H386" s="64"/>
    </row>
    <row r="387" spans="1:8">
      <c r="A387" s="47" t="s">
        <v>28</v>
      </c>
      <c r="B387" s="59">
        <v>0.25</v>
      </c>
      <c r="C387" s="60">
        <v>1</v>
      </c>
      <c r="D387" s="61">
        <v>3.0000000000000001E-3</v>
      </c>
      <c r="E387" s="62"/>
      <c r="F387" s="63" t="str">
        <f t="shared" si="16"/>
        <v/>
      </c>
      <c r="G387" s="62"/>
      <c r="H387" s="64"/>
    </row>
    <row r="388" spans="1:8">
      <c r="A388" s="47" t="s">
        <v>29</v>
      </c>
      <c r="B388" s="59">
        <v>0.35</v>
      </c>
      <c r="C388" s="60">
        <v>2</v>
      </c>
      <c r="D388" s="61">
        <v>7.0000000000000001E-3</v>
      </c>
      <c r="E388" s="62"/>
      <c r="F388" s="63" t="str">
        <f t="shared" si="16"/>
        <v/>
      </c>
      <c r="G388" s="62"/>
      <c r="H388" s="64"/>
    </row>
    <row r="389" spans="1:8">
      <c r="A389" s="47" t="s">
        <v>30</v>
      </c>
      <c r="B389" s="59">
        <v>0.2</v>
      </c>
      <c r="C389" s="60">
        <v>1</v>
      </c>
      <c r="D389" s="61">
        <v>2E-3</v>
      </c>
      <c r="E389" s="62"/>
      <c r="F389" s="63" t="str">
        <f t="shared" si="16"/>
        <v/>
      </c>
      <c r="G389" s="62"/>
      <c r="H389" s="64"/>
    </row>
    <row r="390" spans="1:8">
      <c r="A390" s="47" t="s">
        <v>31</v>
      </c>
      <c r="B390" s="59">
        <v>0.08</v>
      </c>
      <c r="C390" s="65">
        <v>0</v>
      </c>
      <c r="D390" s="61">
        <v>0</v>
      </c>
      <c r="E390" s="62"/>
      <c r="F390" s="63" t="str">
        <f t="shared" si="16"/>
        <v/>
      </c>
      <c r="G390" s="62"/>
      <c r="H390" s="64"/>
    </row>
    <row r="391" spans="1:8">
      <c r="A391" s="47" t="s">
        <v>32</v>
      </c>
      <c r="B391" s="59">
        <v>0.1</v>
      </c>
      <c r="C391" s="60">
        <v>8</v>
      </c>
      <c r="D391" s="61">
        <v>8.0000000000000002E-3</v>
      </c>
      <c r="E391" s="62"/>
      <c r="F391" s="63" t="str">
        <f t="shared" si="16"/>
        <v/>
      </c>
      <c r="G391" s="62"/>
      <c r="H391" s="64"/>
    </row>
    <row r="392" spans="1:8">
      <c r="A392" s="47" t="s">
        <v>33</v>
      </c>
      <c r="B392" s="59">
        <v>0.05</v>
      </c>
      <c r="C392" s="60">
        <v>69</v>
      </c>
      <c r="D392" s="61">
        <v>3.5000000000000003E-2</v>
      </c>
      <c r="E392" s="62"/>
      <c r="F392" s="63" t="str">
        <f t="shared" si="16"/>
        <v/>
      </c>
      <c r="G392" s="62"/>
      <c r="H392" s="64"/>
    </row>
    <row r="393" spans="1:8">
      <c r="A393" s="66" t="s">
        <v>34</v>
      </c>
      <c r="C393" s="67">
        <v>100</v>
      </c>
      <c r="D393" s="68">
        <v>0.183</v>
      </c>
      <c r="E393" s="69">
        <f>SUM(E375:E392)</f>
        <v>0</v>
      </c>
      <c r="F393" s="70">
        <f>SUM(F375:F392)</f>
        <v>0</v>
      </c>
    </row>
    <row r="395" spans="1:8">
      <c r="A395" s="87" t="s">
        <v>126</v>
      </c>
      <c r="B395" s="85"/>
      <c r="C395" s="85"/>
      <c r="D395" s="85"/>
      <c r="E395" s="56" t="s">
        <v>127</v>
      </c>
      <c r="F395" s="57" t="s">
        <v>128</v>
      </c>
      <c r="G395" s="57" t="s">
        <v>129</v>
      </c>
      <c r="H395" s="57" t="s">
        <v>130</v>
      </c>
    </row>
    <row r="396" spans="1:8">
      <c r="A396" s="88" t="s">
        <v>131</v>
      </c>
      <c r="B396" s="85"/>
      <c r="C396" s="85"/>
      <c r="D396" s="85"/>
      <c r="E396" s="85"/>
      <c r="F396" s="85"/>
      <c r="G396" s="85"/>
      <c r="H396" s="85"/>
    </row>
    <row r="397" spans="1:8">
      <c r="A397" s="58" t="s">
        <v>8</v>
      </c>
      <c r="B397" s="58" t="s">
        <v>9</v>
      </c>
      <c r="C397" s="58" t="s">
        <v>10</v>
      </c>
      <c r="D397" s="58" t="s">
        <v>11</v>
      </c>
      <c r="E397" s="58" t="s">
        <v>12</v>
      </c>
      <c r="F397" s="58" t="s">
        <v>13</v>
      </c>
      <c r="G397" s="58" t="s">
        <v>14</v>
      </c>
      <c r="H397" s="58" t="s">
        <v>15</v>
      </c>
    </row>
    <row r="398" spans="1:8">
      <c r="A398" s="47" t="s">
        <v>16</v>
      </c>
      <c r="B398" s="59">
        <v>0.92</v>
      </c>
      <c r="C398" s="60">
        <v>3</v>
      </c>
      <c r="D398" s="61">
        <v>2.8000000000000001E-2</v>
      </c>
      <c r="E398" s="62"/>
      <c r="F398" s="63" t="str">
        <f t="shared" ref="F398:F415" si="17">IF(E398="","",(E398*B398/100))</f>
        <v/>
      </c>
      <c r="G398" s="62"/>
      <c r="H398" s="64"/>
    </row>
    <row r="399" spans="1:8">
      <c r="A399" s="47" t="s">
        <v>17</v>
      </c>
      <c r="B399" s="59">
        <v>0.88</v>
      </c>
      <c r="C399" s="60">
        <v>1</v>
      </c>
      <c r="D399" s="61">
        <v>8.9999999999999993E-3</v>
      </c>
      <c r="E399" s="62"/>
      <c r="F399" s="63" t="str">
        <f t="shared" si="17"/>
        <v/>
      </c>
      <c r="G399" s="62"/>
      <c r="H399" s="64"/>
    </row>
    <row r="400" spans="1:8">
      <c r="A400" s="47" t="s">
        <v>18</v>
      </c>
      <c r="B400" s="59">
        <v>0.85</v>
      </c>
      <c r="C400" s="60">
        <v>1</v>
      </c>
      <c r="D400" s="61">
        <v>8.9999999999999993E-3</v>
      </c>
      <c r="E400" s="62"/>
      <c r="F400" s="63" t="str">
        <f t="shared" si="17"/>
        <v/>
      </c>
      <c r="G400" s="62"/>
      <c r="H400" s="64"/>
    </row>
    <row r="401" spans="1:8">
      <c r="A401" s="47" t="s">
        <v>19</v>
      </c>
      <c r="B401" s="59">
        <v>0.82</v>
      </c>
      <c r="C401" s="60">
        <v>2</v>
      </c>
      <c r="D401" s="61">
        <v>1.6E-2</v>
      </c>
      <c r="E401" s="62"/>
      <c r="F401" s="63" t="str">
        <f t="shared" si="17"/>
        <v/>
      </c>
      <c r="G401" s="62"/>
      <c r="H401" s="64"/>
    </row>
    <row r="402" spans="1:8">
      <c r="A402" s="47" t="s">
        <v>20</v>
      </c>
      <c r="B402" s="59">
        <v>0.8</v>
      </c>
      <c r="C402" s="60">
        <v>1</v>
      </c>
      <c r="D402" s="61">
        <v>8.0000000000000002E-3</v>
      </c>
      <c r="E402" s="62"/>
      <c r="F402" s="63" t="str">
        <f t="shared" si="17"/>
        <v/>
      </c>
      <c r="G402" s="62"/>
      <c r="H402" s="64"/>
    </row>
    <row r="403" spans="1:8">
      <c r="A403" s="47" t="s">
        <v>21</v>
      </c>
      <c r="B403" s="59">
        <v>0.78</v>
      </c>
      <c r="C403" s="60">
        <v>5</v>
      </c>
      <c r="D403" s="61">
        <v>3.9E-2</v>
      </c>
      <c r="E403" s="62"/>
      <c r="F403" s="63" t="str">
        <f t="shared" si="17"/>
        <v/>
      </c>
      <c r="G403" s="62"/>
      <c r="H403" s="64"/>
    </row>
    <row r="404" spans="1:8">
      <c r="A404" s="47" t="s">
        <v>22</v>
      </c>
      <c r="B404" s="59">
        <v>0.7</v>
      </c>
      <c r="C404" s="60">
        <v>1</v>
      </c>
      <c r="D404" s="61">
        <v>7.0000000000000001E-3</v>
      </c>
      <c r="E404" s="62"/>
      <c r="F404" s="63" t="str">
        <f t="shared" si="17"/>
        <v/>
      </c>
      <c r="G404" s="62"/>
      <c r="H404" s="64"/>
    </row>
    <row r="405" spans="1:8">
      <c r="A405" s="47" t="s">
        <v>23</v>
      </c>
      <c r="B405" s="59">
        <v>0.65</v>
      </c>
      <c r="C405" s="60">
        <v>2</v>
      </c>
      <c r="D405" s="61">
        <v>1.2999999999999999E-2</v>
      </c>
      <c r="E405" s="62"/>
      <c r="F405" s="63" t="str">
        <f t="shared" si="17"/>
        <v/>
      </c>
      <c r="G405" s="62"/>
      <c r="H405" s="64"/>
    </row>
    <row r="406" spans="1:8">
      <c r="A406" s="47" t="s">
        <v>24</v>
      </c>
      <c r="B406" s="59">
        <v>0.75</v>
      </c>
      <c r="C406" s="65">
        <v>0</v>
      </c>
      <c r="D406" s="61">
        <v>0</v>
      </c>
      <c r="E406" s="62"/>
      <c r="F406" s="63" t="str">
        <f t="shared" si="17"/>
        <v/>
      </c>
      <c r="G406" s="62"/>
      <c r="H406" s="64"/>
    </row>
    <row r="407" spans="1:8">
      <c r="A407" s="47" t="s">
        <v>25</v>
      </c>
      <c r="B407" s="59">
        <v>0.55000000000000004</v>
      </c>
      <c r="C407" s="60">
        <v>2</v>
      </c>
      <c r="D407" s="61">
        <v>1.0999999999999999E-2</v>
      </c>
      <c r="E407" s="62"/>
      <c r="F407" s="63" t="str">
        <f t="shared" si="17"/>
        <v/>
      </c>
      <c r="G407" s="62"/>
      <c r="H407" s="64"/>
    </row>
    <row r="408" spans="1:8">
      <c r="A408" s="47" t="s">
        <v>26</v>
      </c>
      <c r="B408" s="59">
        <v>0.5</v>
      </c>
      <c r="C408" s="65">
        <v>0</v>
      </c>
      <c r="D408" s="61">
        <v>0</v>
      </c>
      <c r="E408" s="62"/>
      <c r="F408" s="63" t="str">
        <f t="shared" si="17"/>
        <v/>
      </c>
      <c r="G408" s="62"/>
      <c r="H408" s="64"/>
    </row>
    <row r="409" spans="1:8">
      <c r="A409" s="47" t="s">
        <v>27</v>
      </c>
      <c r="B409" s="59">
        <v>0.35</v>
      </c>
      <c r="C409" s="60">
        <v>2</v>
      </c>
      <c r="D409" s="61">
        <v>7.0000000000000001E-3</v>
      </c>
      <c r="E409" s="62"/>
      <c r="F409" s="63" t="str">
        <f t="shared" si="17"/>
        <v/>
      </c>
      <c r="G409" s="62"/>
      <c r="H409" s="64"/>
    </row>
    <row r="410" spans="1:8">
      <c r="A410" s="47" t="s">
        <v>28</v>
      </c>
      <c r="B410" s="59">
        <v>0.25</v>
      </c>
      <c r="C410" s="60">
        <v>1</v>
      </c>
      <c r="D410" s="61">
        <v>3.0000000000000001E-3</v>
      </c>
      <c r="E410" s="62"/>
      <c r="F410" s="63" t="str">
        <f t="shared" si="17"/>
        <v/>
      </c>
      <c r="G410" s="62"/>
      <c r="H410" s="64"/>
    </row>
    <row r="411" spans="1:8">
      <c r="A411" s="47" t="s">
        <v>29</v>
      </c>
      <c r="B411" s="59">
        <v>0.35</v>
      </c>
      <c r="C411" s="60">
        <v>2</v>
      </c>
      <c r="D411" s="61">
        <v>7.0000000000000001E-3</v>
      </c>
      <c r="E411" s="62"/>
      <c r="F411" s="63" t="str">
        <f t="shared" si="17"/>
        <v/>
      </c>
      <c r="G411" s="62"/>
      <c r="H411" s="64"/>
    </row>
    <row r="412" spans="1:8">
      <c r="A412" s="47" t="s">
        <v>30</v>
      </c>
      <c r="B412" s="59">
        <v>0.2</v>
      </c>
      <c r="C412" s="60">
        <v>2</v>
      </c>
      <c r="D412" s="61">
        <v>4.0000000000000001E-3</v>
      </c>
      <c r="E412" s="62"/>
      <c r="F412" s="63" t="str">
        <f t="shared" si="17"/>
        <v/>
      </c>
      <c r="G412" s="62"/>
      <c r="H412" s="64"/>
    </row>
    <row r="413" spans="1:8">
      <c r="A413" s="47" t="s">
        <v>31</v>
      </c>
      <c r="B413" s="59">
        <v>0.08</v>
      </c>
      <c r="C413" s="65">
        <v>0</v>
      </c>
      <c r="D413" s="61">
        <v>0</v>
      </c>
      <c r="E413" s="62"/>
      <c r="F413" s="63" t="str">
        <f t="shared" si="17"/>
        <v/>
      </c>
      <c r="G413" s="62"/>
      <c r="H413" s="64"/>
    </row>
    <row r="414" spans="1:8">
      <c r="A414" s="47" t="s">
        <v>32</v>
      </c>
      <c r="B414" s="59">
        <v>0.1</v>
      </c>
      <c r="C414" s="60">
        <v>25</v>
      </c>
      <c r="D414" s="61">
        <v>2.5000000000000001E-2</v>
      </c>
      <c r="E414" s="62"/>
      <c r="F414" s="63" t="str">
        <f t="shared" si="17"/>
        <v/>
      </c>
      <c r="G414" s="62"/>
      <c r="H414" s="64"/>
    </row>
    <row r="415" spans="1:8">
      <c r="A415" s="47" t="s">
        <v>33</v>
      </c>
      <c r="B415" s="59">
        <v>0.05</v>
      </c>
      <c r="C415" s="60">
        <v>50</v>
      </c>
      <c r="D415" s="61">
        <v>2.5000000000000001E-2</v>
      </c>
      <c r="E415" s="62"/>
      <c r="F415" s="63" t="str">
        <f t="shared" si="17"/>
        <v/>
      </c>
      <c r="G415" s="62"/>
      <c r="H415" s="64"/>
    </row>
    <row r="416" spans="1:8">
      <c r="A416" s="66" t="s">
        <v>34</v>
      </c>
      <c r="C416" s="67">
        <v>100</v>
      </c>
      <c r="D416" s="68">
        <v>0.21</v>
      </c>
      <c r="E416" s="69">
        <f>SUM(E398:E415)</f>
        <v>0</v>
      </c>
      <c r="F416" s="70">
        <f>SUM(F398:F415)</f>
        <v>0</v>
      </c>
    </row>
    <row r="418" spans="1:8">
      <c r="A418" s="87" t="s">
        <v>132</v>
      </c>
      <c r="B418" s="85"/>
      <c r="C418" s="85"/>
      <c r="D418" s="85"/>
      <c r="E418" s="56" t="s">
        <v>133</v>
      </c>
      <c r="F418" s="57" t="s">
        <v>134</v>
      </c>
      <c r="G418" s="57" t="s">
        <v>135</v>
      </c>
      <c r="H418" s="57" t="s">
        <v>136</v>
      </c>
    </row>
    <row r="419" spans="1:8">
      <c r="A419" s="88" t="s">
        <v>137</v>
      </c>
      <c r="B419" s="85"/>
      <c r="C419" s="85"/>
      <c r="D419" s="85"/>
      <c r="E419" s="85"/>
      <c r="F419" s="85"/>
      <c r="G419" s="85"/>
      <c r="H419" s="85"/>
    </row>
    <row r="420" spans="1:8">
      <c r="A420" s="58" t="s">
        <v>8</v>
      </c>
      <c r="B420" s="58" t="s">
        <v>9</v>
      </c>
      <c r="C420" s="58" t="s">
        <v>10</v>
      </c>
      <c r="D420" s="58" t="s">
        <v>11</v>
      </c>
      <c r="E420" s="58" t="s">
        <v>12</v>
      </c>
      <c r="F420" s="58" t="s">
        <v>13</v>
      </c>
      <c r="G420" s="58" t="s">
        <v>14</v>
      </c>
      <c r="H420" s="58" t="s">
        <v>15</v>
      </c>
    </row>
    <row r="421" spans="1:8">
      <c r="A421" s="47" t="s">
        <v>16</v>
      </c>
      <c r="B421" s="59">
        <v>0.92</v>
      </c>
      <c r="C421" s="60">
        <v>3</v>
      </c>
      <c r="D421" s="61">
        <v>2.8000000000000001E-2</v>
      </c>
      <c r="E421" s="62"/>
      <c r="F421" s="63" t="str">
        <f t="shared" ref="F421:F438" si="18">IF(E421="","",(E421*B421/100))</f>
        <v/>
      </c>
      <c r="G421" s="62"/>
      <c r="H421" s="64"/>
    </row>
    <row r="422" spans="1:8">
      <c r="A422" s="47" t="s">
        <v>17</v>
      </c>
      <c r="B422" s="59">
        <v>0.88</v>
      </c>
      <c r="C422" s="60">
        <v>2</v>
      </c>
      <c r="D422" s="61">
        <v>1.7999999999999999E-2</v>
      </c>
      <c r="E422" s="62"/>
      <c r="F422" s="63" t="str">
        <f t="shared" si="18"/>
        <v/>
      </c>
      <c r="G422" s="62"/>
      <c r="H422" s="64"/>
    </row>
    <row r="423" spans="1:8">
      <c r="A423" s="47" t="s">
        <v>18</v>
      </c>
      <c r="B423" s="59">
        <v>0.85</v>
      </c>
      <c r="C423" s="60">
        <v>1</v>
      </c>
      <c r="D423" s="61">
        <v>8.9999999999999993E-3</v>
      </c>
      <c r="E423" s="62"/>
      <c r="F423" s="63" t="str">
        <f t="shared" si="18"/>
        <v/>
      </c>
      <c r="G423" s="62"/>
      <c r="H423" s="64"/>
    </row>
    <row r="424" spans="1:8">
      <c r="A424" s="47" t="s">
        <v>19</v>
      </c>
      <c r="B424" s="59">
        <v>0.82</v>
      </c>
      <c r="C424" s="60">
        <v>5</v>
      </c>
      <c r="D424" s="61">
        <v>4.1000000000000002E-2</v>
      </c>
      <c r="E424" s="62"/>
      <c r="F424" s="63" t="str">
        <f t="shared" si="18"/>
        <v/>
      </c>
      <c r="G424" s="62"/>
      <c r="H424" s="64"/>
    </row>
    <row r="425" spans="1:8">
      <c r="A425" s="47" t="s">
        <v>20</v>
      </c>
      <c r="B425" s="59">
        <v>0.8</v>
      </c>
      <c r="C425" s="60">
        <v>1</v>
      </c>
      <c r="D425" s="61">
        <v>8.0000000000000002E-3</v>
      </c>
      <c r="E425" s="62"/>
      <c r="F425" s="63" t="str">
        <f t="shared" si="18"/>
        <v/>
      </c>
      <c r="G425" s="62"/>
      <c r="H425" s="64"/>
    </row>
    <row r="426" spans="1:8">
      <c r="A426" s="47" t="s">
        <v>21</v>
      </c>
      <c r="B426" s="59">
        <v>0.78</v>
      </c>
      <c r="C426" s="60">
        <v>3</v>
      </c>
      <c r="D426" s="61">
        <v>2.3E-2</v>
      </c>
      <c r="E426" s="62"/>
      <c r="F426" s="63" t="str">
        <f t="shared" si="18"/>
        <v/>
      </c>
      <c r="G426" s="62"/>
      <c r="H426" s="64"/>
    </row>
    <row r="427" spans="1:8">
      <c r="A427" s="47" t="s">
        <v>22</v>
      </c>
      <c r="B427" s="59">
        <v>0.7</v>
      </c>
      <c r="C427" s="60">
        <v>1</v>
      </c>
      <c r="D427" s="61">
        <v>7.0000000000000001E-3</v>
      </c>
      <c r="E427" s="62"/>
      <c r="F427" s="63" t="str">
        <f t="shared" si="18"/>
        <v/>
      </c>
      <c r="G427" s="62"/>
      <c r="H427" s="64"/>
    </row>
    <row r="428" spans="1:8">
      <c r="A428" s="47" t="s">
        <v>23</v>
      </c>
      <c r="B428" s="59">
        <v>0.65</v>
      </c>
      <c r="C428" s="60">
        <v>5</v>
      </c>
      <c r="D428" s="61">
        <v>3.3000000000000002E-2</v>
      </c>
      <c r="E428" s="62"/>
      <c r="F428" s="63" t="str">
        <f t="shared" si="18"/>
        <v/>
      </c>
      <c r="G428" s="62"/>
      <c r="H428" s="64"/>
    </row>
    <row r="429" spans="1:8">
      <c r="A429" s="47" t="s">
        <v>24</v>
      </c>
      <c r="B429" s="59">
        <v>0.75</v>
      </c>
      <c r="C429" s="65">
        <v>0</v>
      </c>
      <c r="D429" s="61">
        <v>0</v>
      </c>
      <c r="E429" s="62"/>
      <c r="F429" s="63" t="str">
        <f t="shared" si="18"/>
        <v/>
      </c>
      <c r="G429" s="62"/>
      <c r="H429" s="64"/>
    </row>
    <row r="430" spans="1:8">
      <c r="A430" s="47" t="s">
        <v>25</v>
      </c>
      <c r="B430" s="59">
        <v>0.55000000000000004</v>
      </c>
      <c r="C430" s="60">
        <v>1</v>
      </c>
      <c r="D430" s="61">
        <v>6.0000000000000001E-3</v>
      </c>
      <c r="E430" s="62"/>
      <c r="F430" s="63" t="str">
        <f t="shared" si="18"/>
        <v/>
      </c>
      <c r="G430" s="62"/>
      <c r="H430" s="64"/>
    </row>
    <row r="431" spans="1:8">
      <c r="A431" s="47" t="s">
        <v>26</v>
      </c>
      <c r="B431" s="59">
        <v>0.5</v>
      </c>
      <c r="C431" s="65">
        <v>0</v>
      </c>
      <c r="D431" s="61">
        <v>0</v>
      </c>
      <c r="E431" s="62"/>
      <c r="F431" s="63" t="str">
        <f t="shared" si="18"/>
        <v/>
      </c>
      <c r="G431" s="62"/>
      <c r="H431" s="64"/>
    </row>
    <row r="432" spans="1:8">
      <c r="A432" s="47" t="s">
        <v>27</v>
      </c>
      <c r="B432" s="59">
        <v>0.35</v>
      </c>
      <c r="C432" s="60">
        <v>2</v>
      </c>
      <c r="D432" s="61">
        <v>7.0000000000000001E-3</v>
      </c>
      <c r="E432" s="62"/>
      <c r="F432" s="63" t="str">
        <f t="shared" si="18"/>
        <v/>
      </c>
      <c r="G432" s="62"/>
      <c r="H432" s="64"/>
    </row>
    <row r="433" spans="1:8">
      <c r="A433" s="47" t="s">
        <v>28</v>
      </c>
      <c r="B433" s="59">
        <v>0.25</v>
      </c>
      <c r="C433" s="60">
        <v>1</v>
      </c>
      <c r="D433" s="61">
        <v>3.0000000000000001E-3</v>
      </c>
      <c r="E433" s="62"/>
      <c r="F433" s="63" t="str">
        <f t="shared" si="18"/>
        <v/>
      </c>
      <c r="G433" s="62"/>
      <c r="H433" s="64"/>
    </row>
    <row r="434" spans="1:8">
      <c r="A434" s="47" t="s">
        <v>29</v>
      </c>
      <c r="B434" s="59">
        <v>0.35</v>
      </c>
      <c r="C434" s="60">
        <v>5</v>
      </c>
      <c r="D434" s="61">
        <v>1.7999999999999999E-2</v>
      </c>
      <c r="E434" s="62"/>
      <c r="F434" s="63" t="str">
        <f t="shared" si="18"/>
        <v/>
      </c>
      <c r="G434" s="62"/>
      <c r="H434" s="64"/>
    </row>
    <row r="435" spans="1:8">
      <c r="A435" s="47" t="s">
        <v>30</v>
      </c>
      <c r="B435" s="59">
        <v>0.2</v>
      </c>
      <c r="C435" s="60">
        <v>5</v>
      </c>
      <c r="D435" s="61">
        <v>0.01</v>
      </c>
      <c r="E435" s="62"/>
      <c r="F435" s="63" t="str">
        <f t="shared" si="18"/>
        <v/>
      </c>
      <c r="G435" s="62"/>
      <c r="H435" s="64"/>
    </row>
    <row r="436" spans="1:8">
      <c r="A436" s="47" t="s">
        <v>31</v>
      </c>
      <c r="B436" s="59">
        <v>0.08</v>
      </c>
      <c r="C436" s="60">
        <v>5</v>
      </c>
      <c r="D436" s="61">
        <v>4.0000000000000001E-3</v>
      </c>
      <c r="E436" s="62"/>
      <c r="F436" s="63" t="str">
        <f t="shared" si="18"/>
        <v/>
      </c>
      <c r="G436" s="62"/>
      <c r="H436" s="64"/>
    </row>
    <row r="437" spans="1:8">
      <c r="A437" s="47" t="s">
        <v>32</v>
      </c>
      <c r="B437" s="59">
        <v>0.1</v>
      </c>
      <c r="C437" s="60">
        <v>10</v>
      </c>
      <c r="D437" s="61">
        <v>0.01</v>
      </c>
      <c r="E437" s="62"/>
      <c r="F437" s="63" t="str">
        <f t="shared" si="18"/>
        <v/>
      </c>
      <c r="G437" s="62"/>
      <c r="H437" s="64"/>
    </row>
    <row r="438" spans="1:8">
      <c r="A438" s="47" t="s">
        <v>33</v>
      </c>
      <c r="B438" s="59">
        <v>0.05</v>
      </c>
      <c r="C438" s="60">
        <v>50</v>
      </c>
      <c r="D438" s="61">
        <v>2.5000000000000001E-2</v>
      </c>
      <c r="E438" s="62"/>
      <c r="F438" s="63" t="str">
        <f t="shared" si="18"/>
        <v/>
      </c>
      <c r="G438" s="62"/>
      <c r="H438" s="64"/>
    </row>
    <row r="439" spans="1:8">
      <c r="A439" s="66" t="s">
        <v>34</v>
      </c>
      <c r="C439" s="67">
        <v>100</v>
      </c>
      <c r="D439" s="68">
        <v>0.247</v>
      </c>
      <c r="E439" s="69">
        <f>SUM(E421:E438)</f>
        <v>0</v>
      </c>
      <c r="F439" s="70">
        <f>SUM(F421:F438)</f>
        <v>0</v>
      </c>
    </row>
    <row r="441" spans="1:8">
      <c r="A441" s="87" t="s">
        <v>138</v>
      </c>
      <c r="B441" s="85"/>
      <c r="C441" s="85"/>
      <c r="D441" s="85"/>
      <c r="E441" s="56" t="s">
        <v>133</v>
      </c>
      <c r="F441" s="57" t="s">
        <v>139</v>
      </c>
      <c r="G441" s="57" t="s">
        <v>140</v>
      </c>
      <c r="H441" s="57" t="s">
        <v>141</v>
      </c>
    </row>
    <row r="442" spans="1:8">
      <c r="A442" s="88" t="s">
        <v>142</v>
      </c>
      <c r="B442" s="85"/>
      <c r="C442" s="85"/>
      <c r="D442" s="85"/>
      <c r="E442" s="85"/>
      <c r="F442" s="85"/>
      <c r="G442" s="85"/>
      <c r="H442" s="85"/>
    </row>
    <row r="443" spans="1:8">
      <c r="A443" s="58" t="s">
        <v>8</v>
      </c>
      <c r="B443" s="58" t="s">
        <v>9</v>
      </c>
      <c r="C443" s="58" t="s">
        <v>10</v>
      </c>
      <c r="D443" s="58" t="s">
        <v>11</v>
      </c>
      <c r="E443" s="58" t="s">
        <v>12</v>
      </c>
      <c r="F443" s="58" t="s">
        <v>13</v>
      </c>
      <c r="G443" s="58" t="s">
        <v>14</v>
      </c>
      <c r="H443" s="58" t="s">
        <v>15</v>
      </c>
    </row>
    <row r="444" spans="1:8">
      <c r="A444" s="47" t="s">
        <v>16</v>
      </c>
      <c r="B444" s="59">
        <v>0.92</v>
      </c>
      <c r="C444" s="60">
        <v>3</v>
      </c>
      <c r="D444" s="61">
        <v>2.8000000000000001E-2</v>
      </c>
      <c r="E444" s="62"/>
      <c r="F444" s="63" t="str">
        <f t="shared" ref="F444:F461" si="19">IF(E444="","",(E444*B444/100))</f>
        <v/>
      </c>
      <c r="G444" s="62"/>
      <c r="H444" s="64"/>
    </row>
    <row r="445" spans="1:8">
      <c r="A445" s="47" t="s">
        <v>17</v>
      </c>
      <c r="B445" s="59">
        <v>0.88</v>
      </c>
      <c r="C445" s="60">
        <v>3</v>
      </c>
      <c r="D445" s="61">
        <v>2.5999999999999999E-2</v>
      </c>
      <c r="E445" s="62"/>
      <c r="F445" s="63" t="str">
        <f t="shared" si="19"/>
        <v/>
      </c>
      <c r="G445" s="62"/>
      <c r="H445" s="64"/>
    </row>
    <row r="446" spans="1:8">
      <c r="A446" s="47" t="s">
        <v>18</v>
      </c>
      <c r="B446" s="59">
        <v>0.85</v>
      </c>
      <c r="C446" s="60">
        <v>2</v>
      </c>
      <c r="D446" s="61">
        <v>1.7000000000000001E-2</v>
      </c>
      <c r="E446" s="62"/>
      <c r="F446" s="63" t="str">
        <f t="shared" si="19"/>
        <v/>
      </c>
      <c r="G446" s="62"/>
      <c r="H446" s="64"/>
    </row>
    <row r="447" spans="1:8">
      <c r="A447" s="47" t="s">
        <v>19</v>
      </c>
      <c r="B447" s="59">
        <v>0.82</v>
      </c>
      <c r="C447" s="60">
        <v>5</v>
      </c>
      <c r="D447" s="61">
        <v>4.1000000000000002E-2</v>
      </c>
      <c r="E447" s="62"/>
      <c r="F447" s="63" t="str">
        <f t="shared" si="19"/>
        <v/>
      </c>
      <c r="G447" s="62"/>
      <c r="H447" s="64"/>
    </row>
    <row r="448" spans="1:8">
      <c r="A448" s="47" t="s">
        <v>20</v>
      </c>
      <c r="B448" s="59">
        <v>0.8</v>
      </c>
      <c r="C448" s="60">
        <v>3</v>
      </c>
      <c r="D448" s="61">
        <v>2.4E-2</v>
      </c>
      <c r="E448" s="62"/>
      <c r="F448" s="63" t="str">
        <f t="shared" si="19"/>
        <v/>
      </c>
      <c r="G448" s="62"/>
      <c r="H448" s="64"/>
    </row>
    <row r="449" spans="1:8">
      <c r="A449" s="47" t="s">
        <v>21</v>
      </c>
      <c r="B449" s="59">
        <v>0.78</v>
      </c>
      <c r="C449" s="60">
        <v>3</v>
      </c>
      <c r="D449" s="61">
        <v>2.3E-2</v>
      </c>
      <c r="E449" s="62"/>
      <c r="F449" s="63" t="str">
        <f t="shared" si="19"/>
        <v/>
      </c>
      <c r="G449" s="62"/>
      <c r="H449" s="64"/>
    </row>
    <row r="450" spans="1:8">
      <c r="A450" s="47" t="s">
        <v>22</v>
      </c>
      <c r="B450" s="59">
        <v>0.7</v>
      </c>
      <c r="C450" s="60">
        <v>2</v>
      </c>
      <c r="D450" s="61">
        <v>1.4E-2</v>
      </c>
      <c r="E450" s="62"/>
      <c r="F450" s="63" t="str">
        <f t="shared" si="19"/>
        <v/>
      </c>
      <c r="G450" s="62"/>
      <c r="H450" s="64"/>
    </row>
    <row r="451" spans="1:8">
      <c r="A451" s="47" t="s">
        <v>23</v>
      </c>
      <c r="B451" s="59">
        <v>0.65</v>
      </c>
      <c r="C451" s="60">
        <v>15</v>
      </c>
      <c r="D451" s="61">
        <v>9.8000000000000004E-2</v>
      </c>
      <c r="E451" s="62"/>
      <c r="F451" s="63" t="str">
        <f t="shared" si="19"/>
        <v/>
      </c>
      <c r="G451" s="62"/>
      <c r="H451" s="64"/>
    </row>
    <row r="452" spans="1:8">
      <c r="A452" s="47" t="s">
        <v>24</v>
      </c>
      <c r="B452" s="59">
        <v>0.75</v>
      </c>
      <c r="C452" s="65">
        <v>0</v>
      </c>
      <c r="D452" s="61">
        <v>0</v>
      </c>
      <c r="E452" s="62"/>
      <c r="F452" s="63" t="str">
        <f t="shared" si="19"/>
        <v/>
      </c>
      <c r="G452" s="62"/>
      <c r="H452" s="64"/>
    </row>
    <row r="453" spans="1:8">
      <c r="A453" s="47" t="s">
        <v>25</v>
      </c>
      <c r="B453" s="59">
        <v>0.55000000000000004</v>
      </c>
      <c r="C453" s="60">
        <v>2</v>
      </c>
      <c r="D453" s="61">
        <v>1.0999999999999999E-2</v>
      </c>
      <c r="E453" s="62"/>
      <c r="F453" s="63" t="str">
        <f t="shared" si="19"/>
        <v/>
      </c>
      <c r="G453" s="62"/>
      <c r="H453" s="64"/>
    </row>
    <row r="454" spans="1:8">
      <c r="A454" s="47" t="s">
        <v>26</v>
      </c>
      <c r="B454" s="59">
        <v>0.5</v>
      </c>
      <c r="C454" s="65">
        <v>0</v>
      </c>
      <c r="D454" s="61">
        <v>0</v>
      </c>
      <c r="E454" s="62"/>
      <c r="F454" s="63" t="str">
        <f t="shared" si="19"/>
        <v/>
      </c>
      <c r="G454" s="62"/>
      <c r="H454" s="64"/>
    </row>
    <row r="455" spans="1:8">
      <c r="A455" s="47" t="s">
        <v>27</v>
      </c>
      <c r="B455" s="59">
        <v>0.35</v>
      </c>
      <c r="C455" s="60">
        <v>5</v>
      </c>
      <c r="D455" s="61">
        <v>1.7999999999999999E-2</v>
      </c>
      <c r="E455" s="62"/>
      <c r="F455" s="63" t="str">
        <f t="shared" si="19"/>
        <v/>
      </c>
      <c r="G455" s="62"/>
      <c r="H455" s="64"/>
    </row>
    <row r="456" spans="1:8">
      <c r="A456" s="47" t="s">
        <v>28</v>
      </c>
      <c r="B456" s="59">
        <v>0.25</v>
      </c>
      <c r="C456" s="60">
        <v>3</v>
      </c>
      <c r="D456" s="61">
        <v>7.0000000000000001E-3</v>
      </c>
      <c r="E456" s="62"/>
      <c r="F456" s="63" t="str">
        <f t="shared" si="19"/>
        <v/>
      </c>
      <c r="G456" s="62"/>
      <c r="H456" s="64"/>
    </row>
    <row r="457" spans="1:8">
      <c r="A457" s="47" t="s">
        <v>29</v>
      </c>
      <c r="B457" s="59">
        <v>0.35</v>
      </c>
      <c r="C457" s="60">
        <v>3</v>
      </c>
      <c r="D457" s="61">
        <v>0.01</v>
      </c>
      <c r="E457" s="62"/>
      <c r="F457" s="63" t="str">
        <f t="shared" si="19"/>
        <v/>
      </c>
      <c r="G457" s="62"/>
      <c r="H457" s="64"/>
    </row>
    <row r="458" spans="1:8">
      <c r="A458" s="47" t="s">
        <v>30</v>
      </c>
      <c r="B458" s="59">
        <v>0.2</v>
      </c>
      <c r="C458" s="60">
        <v>15</v>
      </c>
      <c r="D458" s="61">
        <v>0.03</v>
      </c>
      <c r="E458" s="62"/>
      <c r="F458" s="63" t="str">
        <f t="shared" si="19"/>
        <v/>
      </c>
      <c r="G458" s="62"/>
      <c r="H458" s="64"/>
    </row>
    <row r="459" spans="1:8">
      <c r="A459" s="47" t="s">
        <v>31</v>
      </c>
      <c r="B459" s="59">
        <v>0.08</v>
      </c>
      <c r="C459" s="65">
        <v>0</v>
      </c>
      <c r="D459" s="61">
        <v>0</v>
      </c>
      <c r="E459" s="62"/>
      <c r="F459" s="63" t="str">
        <f t="shared" si="19"/>
        <v/>
      </c>
      <c r="G459" s="62"/>
      <c r="H459" s="64"/>
    </row>
    <row r="460" spans="1:8">
      <c r="A460" s="47" t="s">
        <v>32</v>
      </c>
      <c r="B460" s="59">
        <v>0.1</v>
      </c>
      <c r="C460" s="60">
        <v>15</v>
      </c>
      <c r="D460" s="61">
        <v>1.4999999999999999E-2</v>
      </c>
      <c r="E460" s="62"/>
      <c r="F460" s="63" t="str">
        <f t="shared" si="19"/>
        <v/>
      </c>
      <c r="G460" s="62"/>
      <c r="H460" s="64"/>
    </row>
    <row r="461" spans="1:8">
      <c r="A461" s="47" t="s">
        <v>33</v>
      </c>
      <c r="B461" s="59">
        <v>0.05</v>
      </c>
      <c r="C461" s="60">
        <v>21</v>
      </c>
      <c r="D461" s="61">
        <v>1.0999999999999999E-2</v>
      </c>
      <c r="E461" s="62"/>
      <c r="F461" s="63" t="str">
        <f t="shared" si="19"/>
        <v/>
      </c>
      <c r="G461" s="62"/>
      <c r="H461" s="64"/>
    </row>
    <row r="462" spans="1:8">
      <c r="A462" s="66" t="s">
        <v>34</v>
      </c>
      <c r="C462" s="67">
        <v>100</v>
      </c>
      <c r="D462" s="68">
        <v>0.373</v>
      </c>
      <c r="E462" s="69">
        <f>SUM(E444:E461)</f>
        <v>0</v>
      </c>
      <c r="F462" s="70">
        <f>SUM(F444:F461)</f>
        <v>0</v>
      </c>
    </row>
  </sheetData>
  <mergeCells count="42">
    <mergeCell ref="A4:D4"/>
    <mergeCell ref="A395:D395"/>
    <mergeCell ref="A51:H51"/>
    <mergeCell ref="A96:D96"/>
    <mergeCell ref="A304:H304"/>
    <mergeCell ref="A280:D280"/>
    <mergeCell ref="A165:D165"/>
    <mergeCell ref="A28:H28"/>
    <mergeCell ref="A143:H143"/>
    <mergeCell ref="A188:D188"/>
    <mergeCell ref="A303:D303"/>
    <mergeCell ref="A234:D234"/>
    <mergeCell ref="A166:H166"/>
    <mergeCell ref="A1:H1"/>
    <mergeCell ref="A281:H281"/>
    <mergeCell ref="A372:D372"/>
    <mergeCell ref="A211:D211"/>
    <mergeCell ref="A73:D73"/>
    <mergeCell ref="A142:D142"/>
    <mergeCell ref="A189:H189"/>
    <mergeCell ref="A120:H120"/>
    <mergeCell ref="A74:H74"/>
    <mergeCell ref="A119:D119"/>
    <mergeCell ref="A2:H2"/>
    <mergeCell ref="A5:H5"/>
    <mergeCell ref="A97:H97"/>
    <mergeCell ref="A27:D27"/>
    <mergeCell ref="A50:D50"/>
    <mergeCell ref="A350:H350"/>
    <mergeCell ref="A442:H442"/>
    <mergeCell ref="A212:H212"/>
    <mergeCell ref="A441:D441"/>
    <mergeCell ref="A257:D257"/>
    <mergeCell ref="A419:H419"/>
    <mergeCell ref="A349:D349"/>
    <mergeCell ref="A235:H235"/>
    <mergeCell ref="A326:D326"/>
    <mergeCell ref="A373:H373"/>
    <mergeCell ref="A418:D418"/>
    <mergeCell ref="A327:H327"/>
    <mergeCell ref="A258:H258"/>
    <mergeCell ref="A396:H3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B1:B43"/>
  <sheetViews>
    <sheetView zoomScaleNormal="100" workbookViewId="0">
      <selection sqref="A1:H1"/>
    </sheetView>
  </sheetViews>
  <sheetFormatPr defaultColWidth="8.7109375" defaultRowHeight="14.25"/>
  <cols>
    <col min="1" max="1" width="3" customWidth="1"/>
    <col min="2" max="2" width="120" customWidth="1"/>
  </cols>
  <sheetData>
    <row r="1" spans="2:2" ht="17.45" customHeight="1">
      <c r="B1" s="45" t="s">
        <v>143</v>
      </c>
    </row>
    <row r="2" spans="2:2" ht="15" customHeight="1">
      <c r="B2" s="82" t="s">
        <v>144</v>
      </c>
    </row>
    <row r="4" spans="2:2" ht="15" customHeight="1">
      <c r="B4" s="83" t="s">
        <v>145</v>
      </c>
    </row>
    <row r="5" spans="2:2" ht="15" customHeight="1">
      <c r="B5" s="47" t="s">
        <v>146</v>
      </c>
    </row>
    <row r="6" spans="2:2" ht="15" customHeight="1">
      <c r="B6" s="47" t="s">
        <v>147</v>
      </c>
    </row>
    <row r="7" spans="2:2">
      <c r="B7" s="47"/>
    </row>
    <row r="8" spans="2:2" ht="15" customHeight="1">
      <c r="B8" s="66" t="s">
        <v>148</v>
      </c>
    </row>
    <row r="9" spans="2:2" ht="15" customHeight="1">
      <c r="B9" s="47" t="s">
        <v>149</v>
      </c>
    </row>
    <row r="10" spans="2:2" ht="15" customHeight="1">
      <c r="B10" s="47" t="s">
        <v>150</v>
      </c>
    </row>
    <row r="11" spans="2:2" ht="15" customHeight="1">
      <c r="B11" s="47" t="s">
        <v>151</v>
      </c>
    </row>
    <row r="12" spans="2:2" ht="15" customHeight="1">
      <c r="B12" s="47" t="s">
        <v>152</v>
      </c>
    </row>
    <row r="13" spans="2:2" ht="15" customHeight="1">
      <c r="B13" s="47" t="s">
        <v>153</v>
      </c>
    </row>
    <row r="14" spans="2:2" ht="15" customHeight="1">
      <c r="B14" s="47" t="s">
        <v>154</v>
      </c>
    </row>
    <row r="15" spans="2:2">
      <c r="B15" s="47" t="s">
        <v>155</v>
      </c>
    </row>
    <row r="16" spans="2:2" ht="15" customHeight="1">
      <c r="B16" s="47"/>
    </row>
    <row r="17" spans="2:2" ht="15" customHeight="1">
      <c r="B17" s="66" t="s">
        <v>156</v>
      </c>
    </row>
    <row r="18" spans="2:2" ht="15" customHeight="1">
      <c r="B18" s="47" t="s">
        <v>157</v>
      </c>
    </row>
    <row r="19" spans="2:2" ht="15" customHeight="1">
      <c r="B19" s="47" t="s">
        <v>158</v>
      </c>
    </row>
    <row r="20" spans="2:2" ht="15" customHeight="1">
      <c r="B20" s="47"/>
    </row>
    <row r="21" spans="2:2" ht="15" customHeight="1">
      <c r="B21" s="66" t="s">
        <v>159</v>
      </c>
    </row>
    <row r="22" spans="2:2">
      <c r="B22" s="47" t="s">
        <v>160</v>
      </c>
    </row>
    <row r="23" spans="2:2" ht="15" customHeight="1">
      <c r="B23" s="47" t="s">
        <v>161</v>
      </c>
    </row>
    <row r="24" spans="2:2" ht="15" customHeight="1">
      <c r="B24" s="47" t="s">
        <v>162</v>
      </c>
    </row>
    <row r="25" spans="2:2" ht="15" customHeight="1">
      <c r="B25" s="47" t="s">
        <v>163</v>
      </c>
    </row>
    <row r="26" spans="2:2" ht="15" customHeight="1">
      <c r="B26" s="47" t="s">
        <v>164</v>
      </c>
    </row>
    <row r="27" spans="2:2" ht="15" customHeight="1">
      <c r="B27" s="47"/>
    </row>
    <row r="28" spans="2:2" ht="15" customHeight="1">
      <c r="B28" s="66" t="s">
        <v>165</v>
      </c>
    </row>
    <row r="29" spans="2:2">
      <c r="B29" s="47" t="s">
        <v>166</v>
      </c>
    </row>
    <row r="30" spans="2:2" ht="15" customHeight="1">
      <c r="B30" s="47" t="s">
        <v>167</v>
      </c>
    </row>
    <row r="31" spans="2:2" ht="15" customHeight="1">
      <c r="B31" s="47" t="s">
        <v>168</v>
      </c>
    </row>
    <row r="32" spans="2:2" ht="15" customHeight="1">
      <c r="B32" s="47" t="s">
        <v>169</v>
      </c>
    </row>
    <row r="33" spans="2:2" ht="15" customHeight="1">
      <c r="B33" s="47"/>
    </row>
    <row r="34" spans="2:2" ht="15" customHeight="1">
      <c r="B34" s="66" t="s">
        <v>170</v>
      </c>
    </row>
    <row r="35" spans="2:2" ht="15" customHeight="1">
      <c r="B35" s="47" t="s">
        <v>171</v>
      </c>
    </row>
    <row r="36" spans="2:2">
      <c r="B36" s="47" t="s">
        <v>172</v>
      </c>
    </row>
    <row r="37" spans="2:2" ht="15" customHeight="1">
      <c r="B37" s="47" t="s">
        <v>173</v>
      </c>
    </row>
    <row r="38" spans="2:2" ht="15" customHeight="1">
      <c r="B38" s="47" t="s">
        <v>174</v>
      </c>
    </row>
    <row r="39" spans="2:2" ht="15" customHeight="1">
      <c r="B39" s="3"/>
    </row>
    <row r="40" spans="2:2" ht="15" customHeight="1">
      <c r="B40" s="3"/>
    </row>
    <row r="41" spans="2:2" ht="15" customHeight="1">
      <c r="B41" s="3"/>
    </row>
    <row r="43" spans="2:2" ht="15" customHeight="1">
      <c r="B43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S24"/>
  <sheetViews>
    <sheetView zoomScaleNormal="100" workbookViewId="0"/>
  </sheetViews>
  <sheetFormatPr defaultColWidth="8.7109375" defaultRowHeight="14.25"/>
  <cols>
    <col min="1" max="1" width="8" customWidth="1"/>
    <col min="2" max="2" width="40" customWidth="1"/>
    <col min="3" max="3" width="22" customWidth="1"/>
    <col min="4" max="4" width="18" customWidth="1"/>
    <col min="5" max="5" width="55" customWidth="1"/>
  </cols>
  <sheetData>
    <row r="1" spans="1:6" ht="15" customHeight="1">
      <c r="A1" s="5" t="s">
        <v>175</v>
      </c>
      <c r="B1" s="5" t="s">
        <v>176</v>
      </c>
      <c r="C1" s="5" t="s">
        <v>177</v>
      </c>
      <c r="D1" s="5" t="s">
        <v>178</v>
      </c>
      <c r="E1" s="5" t="s">
        <v>179</v>
      </c>
    </row>
    <row r="2" spans="1:6" ht="15" customHeight="1">
      <c r="A2" s="6" t="s">
        <v>180</v>
      </c>
      <c r="B2" s="7" t="s">
        <v>181</v>
      </c>
      <c r="C2" s="8">
        <v>0.96</v>
      </c>
      <c r="D2" s="9" t="s">
        <v>182</v>
      </c>
      <c r="E2" s="7" t="s">
        <v>183</v>
      </c>
      <c r="F2" s="46">
        <v>0.92</v>
      </c>
    </row>
    <row r="3" spans="1:6" ht="15" customHeight="1">
      <c r="A3" s="6" t="s">
        <v>184</v>
      </c>
      <c r="B3" s="7" t="s">
        <v>185</v>
      </c>
      <c r="C3" s="8">
        <v>0.94</v>
      </c>
      <c r="D3" s="9" t="s">
        <v>182</v>
      </c>
      <c r="E3" s="7" t="s">
        <v>186</v>
      </c>
      <c r="F3" s="46">
        <v>0.88</v>
      </c>
    </row>
    <row r="4" spans="1:6" ht="15" customHeight="1">
      <c r="A4" s="6" t="s">
        <v>187</v>
      </c>
      <c r="B4" s="7" t="s">
        <v>188</v>
      </c>
      <c r="C4" s="8">
        <v>0.93</v>
      </c>
      <c r="D4" s="9" t="s">
        <v>182</v>
      </c>
      <c r="E4" s="7" t="s">
        <v>189</v>
      </c>
      <c r="F4" s="46">
        <v>0.85</v>
      </c>
    </row>
    <row r="5" spans="1:6" ht="15" customHeight="1">
      <c r="A5" s="6" t="s">
        <v>190</v>
      </c>
      <c r="B5" s="7" t="s">
        <v>191</v>
      </c>
      <c r="C5" s="8">
        <v>0.9</v>
      </c>
      <c r="D5" s="9" t="s">
        <v>182</v>
      </c>
      <c r="E5" s="7" t="s">
        <v>192</v>
      </c>
      <c r="F5" s="46">
        <v>0.82</v>
      </c>
    </row>
    <row r="6" spans="1:6" ht="15" customHeight="1">
      <c r="A6" s="6" t="s">
        <v>193</v>
      </c>
      <c r="B6" s="7" t="s">
        <v>194</v>
      </c>
      <c r="C6" s="8">
        <v>0.88</v>
      </c>
      <c r="D6" s="9" t="s">
        <v>182</v>
      </c>
      <c r="E6" s="7" t="s">
        <v>195</v>
      </c>
      <c r="F6" s="46">
        <v>0.8</v>
      </c>
    </row>
    <row r="7" spans="1:6" ht="15" customHeight="1">
      <c r="A7" s="6" t="s">
        <v>196</v>
      </c>
      <c r="B7" s="7" t="s">
        <v>197</v>
      </c>
      <c r="C7" s="8">
        <v>0.88</v>
      </c>
      <c r="D7" s="9" t="s">
        <v>182</v>
      </c>
      <c r="E7" s="7" t="s">
        <v>192</v>
      </c>
      <c r="F7" s="46">
        <v>0.78</v>
      </c>
    </row>
    <row r="8" spans="1:6" ht="15" customHeight="1">
      <c r="A8" s="6" t="s">
        <v>198</v>
      </c>
      <c r="B8" s="7" t="s">
        <v>199</v>
      </c>
      <c r="C8" s="8">
        <v>0.85</v>
      </c>
      <c r="D8" s="10" t="s">
        <v>200</v>
      </c>
      <c r="E8" s="7" t="s">
        <v>201</v>
      </c>
      <c r="F8" s="46">
        <v>0.7</v>
      </c>
    </row>
    <row r="9" spans="1:6" ht="15" customHeight="1">
      <c r="A9" s="6" t="s">
        <v>202</v>
      </c>
      <c r="B9" s="7" t="s">
        <v>203</v>
      </c>
      <c r="C9" s="8">
        <v>0.82</v>
      </c>
      <c r="D9" s="10" t="s">
        <v>200</v>
      </c>
      <c r="E9" s="7" t="s">
        <v>204</v>
      </c>
      <c r="F9" s="46">
        <v>0.65</v>
      </c>
    </row>
    <row r="10" spans="1:6" ht="15" customHeight="1">
      <c r="A10" s="6" t="s">
        <v>205</v>
      </c>
      <c r="B10" s="7" t="s">
        <v>206</v>
      </c>
      <c r="C10" s="8">
        <v>0.82</v>
      </c>
      <c r="D10" s="9" t="s">
        <v>182</v>
      </c>
      <c r="E10" s="7" t="s">
        <v>207</v>
      </c>
      <c r="F10" s="46">
        <v>0.75</v>
      </c>
    </row>
    <row r="11" spans="1:6" ht="15" customHeight="1">
      <c r="A11" s="6" t="s">
        <v>208</v>
      </c>
      <c r="B11" s="7" t="s">
        <v>209</v>
      </c>
      <c r="C11" s="8">
        <v>0.78</v>
      </c>
      <c r="D11" s="10" t="s">
        <v>200</v>
      </c>
      <c r="E11" s="7" t="s">
        <v>210</v>
      </c>
      <c r="F11" s="46">
        <v>0.55000000000000004</v>
      </c>
    </row>
    <row r="12" spans="1:6" ht="15" customHeight="1">
      <c r="A12" s="6" t="s">
        <v>211</v>
      </c>
      <c r="B12" s="7" t="s">
        <v>212</v>
      </c>
      <c r="C12" s="8">
        <v>0.8</v>
      </c>
      <c r="D12" s="10" t="s">
        <v>200</v>
      </c>
      <c r="E12" s="7" t="s">
        <v>213</v>
      </c>
      <c r="F12" s="46">
        <v>0.5</v>
      </c>
    </row>
    <row r="13" spans="1:6" ht="15" customHeight="1">
      <c r="A13" s="6" t="s">
        <v>214</v>
      </c>
      <c r="B13" s="7" t="s">
        <v>215</v>
      </c>
      <c r="C13" s="8">
        <v>0.57999999999999996</v>
      </c>
      <c r="D13" s="11" t="s">
        <v>216</v>
      </c>
      <c r="E13" s="7" t="s">
        <v>217</v>
      </c>
      <c r="F13" s="46">
        <v>0.35</v>
      </c>
    </row>
    <row r="14" spans="1:6" ht="15" customHeight="1">
      <c r="A14" s="6" t="s">
        <v>218</v>
      </c>
      <c r="B14" s="7" t="s">
        <v>219</v>
      </c>
      <c r="C14" s="8">
        <v>0.45</v>
      </c>
      <c r="D14" s="11" t="s">
        <v>216</v>
      </c>
      <c r="E14" s="7" t="s">
        <v>220</v>
      </c>
      <c r="F14" s="46">
        <v>0.25</v>
      </c>
    </row>
    <row r="15" spans="1:6" ht="15" customHeight="1">
      <c r="A15" s="6" t="s">
        <v>221</v>
      </c>
      <c r="B15" s="7" t="s">
        <v>222</v>
      </c>
      <c r="C15" s="8">
        <v>0.6</v>
      </c>
      <c r="D15" s="11" t="s">
        <v>216</v>
      </c>
      <c r="E15" s="7" t="s">
        <v>223</v>
      </c>
      <c r="F15" s="46">
        <v>0.35</v>
      </c>
    </row>
    <row r="16" spans="1:6" ht="15" customHeight="1">
      <c r="A16" s="6" t="s">
        <v>224</v>
      </c>
      <c r="B16" s="7" t="s">
        <v>225</v>
      </c>
      <c r="C16" s="8">
        <v>0.35</v>
      </c>
      <c r="D16" s="12" t="s">
        <v>226</v>
      </c>
      <c r="E16" s="7" t="s">
        <v>227</v>
      </c>
      <c r="F16" s="46">
        <v>0.2</v>
      </c>
    </row>
    <row r="17" spans="1:19" ht="15" customHeight="1">
      <c r="A17" s="6" t="s">
        <v>228</v>
      </c>
      <c r="B17" s="7" t="s">
        <v>229</v>
      </c>
      <c r="C17" s="8">
        <v>0.2</v>
      </c>
      <c r="D17" s="12" t="s">
        <v>226</v>
      </c>
      <c r="E17" s="7" t="s">
        <v>230</v>
      </c>
      <c r="F17" s="46">
        <v>0.08</v>
      </c>
    </row>
    <row r="18" spans="1:19" ht="15" customHeight="1">
      <c r="A18" s="6" t="s">
        <v>231</v>
      </c>
      <c r="B18" s="7" t="s">
        <v>232</v>
      </c>
      <c r="C18" s="8">
        <v>0.13</v>
      </c>
      <c r="D18" s="12" t="s">
        <v>226</v>
      </c>
      <c r="E18" s="7" t="s">
        <v>233</v>
      </c>
      <c r="F18" s="46">
        <v>0.1</v>
      </c>
    </row>
    <row r="19" spans="1:19" ht="15" customHeight="1">
      <c r="A19" s="6" t="s">
        <v>234</v>
      </c>
      <c r="B19" s="7" t="s">
        <v>235</v>
      </c>
      <c r="C19" s="8">
        <v>7.0000000000000007E-2</v>
      </c>
      <c r="D19" s="12" t="s">
        <v>226</v>
      </c>
      <c r="E19" s="7" t="s">
        <v>236</v>
      </c>
      <c r="F19" s="46">
        <v>0.05</v>
      </c>
    </row>
    <row r="21" spans="1:19" ht="15" customHeight="1">
      <c r="A21" s="13" t="s">
        <v>237</v>
      </c>
      <c r="C21" s="14">
        <v>0.6</v>
      </c>
    </row>
    <row r="22" spans="1:19" ht="15" customHeight="1">
      <c r="A22" s="13" t="s">
        <v>238</v>
      </c>
      <c r="C22" s="15">
        <v>37</v>
      </c>
    </row>
    <row r="24" spans="1:19" ht="15" customHeight="1">
      <c r="A24" s="16" t="s">
        <v>239</v>
      </c>
      <c r="B24" s="17">
        <f>C2</f>
        <v>0.96</v>
      </c>
      <c r="C24" s="17">
        <f>C3</f>
        <v>0.94</v>
      </c>
      <c r="D24" s="17">
        <f>C4</f>
        <v>0.93</v>
      </c>
      <c r="E24" s="17">
        <f>C5</f>
        <v>0.9</v>
      </c>
      <c r="F24" s="17">
        <f>C6</f>
        <v>0.88</v>
      </c>
      <c r="G24" s="17">
        <f>C7</f>
        <v>0.88</v>
      </c>
      <c r="H24" s="17">
        <f>C8</f>
        <v>0.85</v>
      </c>
      <c r="I24" s="17">
        <f>C9</f>
        <v>0.82</v>
      </c>
      <c r="J24" s="17">
        <f>C10</f>
        <v>0.82</v>
      </c>
      <c r="K24" s="17">
        <f>C11</f>
        <v>0.78</v>
      </c>
      <c r="L24" s="17">
        <f>C12</f>
        <v>0.8</v>
      </c>
      <c r="M24" s="17">
        <f>C13</f>
        <v>0.57999999999999996</v>
      </c>
      <c r="N24" s="17">
        <f>C14</f>
        <v>0.45</v>
      </c>
      <c r="O24" s="17">
        <f>C15</f>
        <v>0.6</v>
      </c>
      <c r="P24" s="17">
        <f>C16</f>
        <v>0.35</v>
      </c>
      <c r="Q24" s="17">
        <f>C17</f>
        <v>0.2</v>
      </c>
      <c r="R24" s="17">
        <f>C18</f>
        <v>0.13</v>
      </c>
      <c r="S24" s="17">
        <f>C19</f>
        <v>7.0000000000000007E-2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V413"/>
  <sheetViews>
    <sheetView zoomScaleNormal="100" workbookViewId="0"/>
  </sheetViews>
  <sheetFormatPr defaultColWidth="8.7109375" defaultRowHeight="14.25"/>
  <cols>
    <col min="1" max="1" width="10" customWidth="1"/>
    <col min="2" max="2" width="52" customWidth="1"/>
    <col min="3" max="3" width="22" customWidth="1"/>
    <col min="4" max="21" width="8" customWidth="1"/>
    <col min="22" max="22" width="12" customWidth="1"/>
  </cols>
  <sheetData>
    <row r="1" spans="1:22" ht="60" customHeight="1">
      <c r="A1" s="5" t="s">
        <v>240</v>
      </c>
      <c r="B1" s="5" t="s">
        <v>241</v>
      </c>
      <c r="C1" s="5" t="s">
        <v>242</v>
      </c>
      <c r="D1" s="5" t="s">
        <v>243</v>
      </c>
      <c r="E1" s="5" t="s">
        <v>244</v>
      </c>
      <c r="F1" s="5" t="s">
        <v>245</v>
      </c>
      <c r="G1" s="5" t="s">
        <v>246</v>
      </c>
      <c r="H1" s="5" t="s">
        <v>247</v>
      </c>
      <c r="I1" s="5" t="s">
        <v>248</v>
      </c>
      <c r="J1" s="5" t="s">
        <v>249</v>
      </c>
      <c r="K1" s="5" t="s">
        <v>250</v>
      </c>
      <c r="L1" s="5" t="s">
        <v>251</v>
      </c>
      <c r="M1" s="5" t="s">
        <v>252</v>
      </c>
      <c r="N1" s="5" t="s">
        <v>253</v>
      </c>
      <c r="O1" s="5" t="s">
        <v>254</v>
      </c>
      <c r="P1" s="5" t="s">
        <v>255</v>
      </c>
      <c r="Q1" s="5" t="s">
        <v>256</v>
      </c>
      <c r="R1" s="5" t="s">
        <v>257</v>
      </c>
      <c r="S1" s="5" t="s">
        <v>258</v>
      </c>
      <c r="T1" s="5" t="s">
        <v>259</v>
      </c>
      <c r="U1" s="5" t="s">
        <v>260</v>
      </c>
      <c r="V1" s="5" t="s">
        <v>261</v>
      </c>
    </row>
    <row r="2" spans="1:22" ht="15" customHeight="1">
      <c r="A2" s="6" t="s">
        <v>262</v>
      </c>
      <c r="B2" s="7" t="s">
        <v>263</v>
      </c>
      <c r="C2" s="7" t="s">
        <v>264</v>
      </c>
      <c r="D2" s="18">
        <v>1</v>
      </c>
      <c r="E2" s="18">
        <v>3</v>
      </c>
      <c r="F2" s="18">
        <v>8</v>
      </c>
      <c r="G2" s="18">
        <v>5</v>
      </c>
      <c r="H2" s="18">
        <v>5</v>
      </c>
      <c r="I2" s="18">
        <v>1</v>
      </c>
      <c r="J2" s="18">
        <v>12</v>
      </c>
      <c r="K2" s="18">
        <v>5</v>
      </c>
      <c r="L2" s="18">
        <v>0</v>
      </c>
      <c r="M2" s="18">
        <v>2</v>
      </c>
      <c r="N2" s="18">
        <v>0</v>
      </c>
      <c r="O2" s="18">
        <v>28</v>
      </c>
      <c r="P2" s="18">
        <v>12</v>
      </c>
      <c r="Q2" s="18">
        <v>2</v>
      </c>
      <c r="R2" s="18">
        <v>14</v>
      </c>
      <c r="S2" s="18">
        <v>0</v>
      </c>
      <c r="T2" s="18">
        <v>2</v>
      </c>
      <c r="U2" s="18">
        <v>0</v>
      </c>
      <c r="V2" s="19">
        <f t="shared" ref="V2:V65" si="0">SUM(D2:U2)</f>
        <v>100</v>
      </c>
    </row>
    <row r="3" spans="1:22" ht="15" customHeight="1">
      <c r="A3" s="6" t="s">
        <v>265</v>
      </c>
      <c r="B3" s="7" t="s">
        <v>266</v>
      </c>
      <c r="C3" s="7" t="s">
        <v>264</v>
      </c>
      <c r="D3" s="18">
        <v>1</v>
      </c>
      <c r="E3" s="18">
        <v>3</v>
      </c>
      <c r="F3" s="18">
        <v>8</v>
      </c>
      <c r="G3" s="18">
        <v>5</v>
      </c>
      <c r="H3" s="18">
        <v>2</v>
      </c>
      <c r="I3" s="18">
        <v>1</v>
      </c>
      <c r="J3" s="18">
        <v>15</v>
      </c>
      <c r="K3" s="18">
        <v>10</v>
      </c>
      <c r="L3" s="18">
        <v>0</v>
      </c>
      <c r="M3" s="18">
        <v>1</v>
      </c>
      <c r="N3" s="18">
        <v>0</v>
      </c>
      <c r="O3" s="18">
        <v>20</v>
      </c>
      <c r="P3" s="18">
        <v>15</v>
      </c>
      <c r="Q3" s="18">
        <v>5</v>
      </c>
      <c r="R3" s="18">
        <v>10</v>
      </c>
      <c r="S3" s="18">
        <v>0</v>
      </c>
      <c r="T3" s="18">
        <v>2</v>
      </c>
      <c r="U3" s="18">
        <v>2</v>
      </c>
      <c r="V3" s="19">
        <f t="shared" si="0"/>
        <v>100</v>
      </c>
    </row>
    <row r="4" spans="1:22" ht="15" customHeight="1">
      <c r="A4" s="6" t="s">
        <v>267</v>
      </c>
      <c r="B4" s="7" t="s">
        <v>268</v>
      </c>
      <c r="C4" s="7" t="s">
        <v>264</v>
      </c>
      <c r="D4" s="18">
        <v>2</v>
      </c>
      <c r="E4" s="18">
        <v>3</v>
      </c>
      <c r="F4" s="18">
        <v>5</v>
      </c>
      <c r="G4" s="18">
        <v>5</v>
      </c>
      <c r="H4" s="18">
        <v>3</v>
      </c>
      <c r="I4" s="18">
        <v>3</v>
      </c>
      <c r="J4" s="18">
        <v>10</v>
      </c>
      <c r="K4" s="18">
        <v>5</v>
      </c>
      <c r="L4" s="18">
        <v>0</v>
      </c>
      <c r="M4" s="18">
        <v>3</v>
      </c>
      <c r="N4" s="18">
        <v>0</v>
      </c>
      <c r="O4" s="18">
        <v>20</v>
      </c>
      <c r="P4" s="18">
        <v>8</v>
      </c>
      <c r="Q4" s="18">
        <v>5</v>
      </c>
      <c r="R4" s="18">
        <v>15</v>
      </c>
      <c r="S4" s="18">
        <v>0</v>
      </c>
      <c r="T4" s="18">
        <v>8</v>
      </c>
      <c r="U4" s="18">
        <v>5</v>
      </c>
      <c r="V4" s="19">
        <f t="shared" si="0"/>
        <v>100</v>
      </c>
    </row>
    <row r="5" spans="1:22" ht="15" customHeight="1">
      <c r="A5" s="6" t="s">
        <v>269</v>
      </c>
      <c r="B5" s="7" t="s">
        <v>270</v>
      </c>
      <c r="C5" s="7" t="s">
        <v>264</v>
      </c>
      <c r="D5" s="18">
        <v>2</v>
      </c>
      <c r="E5" s="18">
        <v>3</v>
      </c>
      <c r="F5" s="18">
        <v>5</v>
      </c>
      <c r="G5" s="18">
        <v>8</v>
      </c>
      <c r="H5" s="18">
        <v>3</v>
      </c>
      <c r="I5" s="18">
        <v>2</v>
      </c>
      <c r="J5" s="18">
        <v>8</v>
      </c>
      <c r="K5" s="18">
        <v>5</v>
      </c>
      <c r="L5" s="18">
        <v>0</v>
      </c>
      <c r="M5" s="18">
        <v>5</v>
      </c>
      <c r="N5" s="18">
        <v>0</v>
      </c>
      <c r="O5" s="18">
        <v>18</v>
      </c>
      <c r="P5" s="18">
        <v>5</v>
      </c>
      <c r="Q5" s="18">
        <v>8</v>
      </c>
      <c r="R5" s="18">
        <v>15</v>
      </c>
      <c r="S5" s="18">
        <v>0</v>
      </c>
      <c r="T5" s="18">
        <v>8</v>
      </c>
      <c r="U5" s="18">
        <v>5</v>
      </c>
      <c r="V5" s="19">
        <f t="shared" si="0"/>
        <v>100</v>
      </c>
    </row>
    <row r="6" spans="1:22" ht="15" customHeight="1">
      <c r="A6" s="6" t="s">
        <v>271</v>
      </c>
      <c r="B6" s="7" t="s">
        <v>272</v>
      </c>
      <c r="C6" s="7" t="s">
        <v>264</v>
      </c>
      <c r="D6" s="18">
        <v>2</v>
      </c>
      <c r="E6" s="18">
        <v>3</v>
      </c>
      <c r="F6" s="18">
        <v>5</v>
      </c>
      <c r="G6" s="18">
        <v>5</v>
      </c>
      <c r="H6" s="18">
        <v>3</v>
      </c>
      <c r="I6" s="18">
        <v>3</v>
      </c>
      <c r="J6" s="18">
        <v>10</v>
      </c>
      <c r="K6" s="18">
        <v>5</v>
      </c>
      <c r="L6" s="18">
        <v>0</v>
      </c>
      <c r="M6" s="18">
        <v>3</v>
      </c>
      <c r="N6" s="18">
        <v>0</v>
      </c>
      <c r="O6" s="18">
        <v>20</v>
      </c>
      <c r="P6" s="18">
        <v>5</v>
      </c>
      <c r="Q6" s="18">
        <v>5</v>
      </c>
      <c r="R6" s="18">
        <v>15</v>
      </c>
      <c r="S6" s="18">
        <v>0</v>
      </c>
      <c r="T6" s="18">
        <v>8</v>
      </c>
      <c r="U6" s="18">
        <v>8</v>
      </c>
      <c r="V6" s="19">
        <f t="shared" si="0"/>
        <v>100</v>
      </c>
    </row>
    <row r="7" spans="1:22" ht="15" customHeight="1">
      <c r="A7" s="6" t="s">
        <v>273</v>
      </c>
      <c r="B7" s="7" t="s">
        <v>274</v>
      </c>
      <c r="C7" s="7" t="s">
        <v>264</v>
      </c>
      <c r="D7" s="18">
        <v>3</v>
      </c>
      <c r="E7" s="18">
        <v>3</v>
      </c>
      <c r="F7" s="18">
        <v>5</v>
      </c>
      <c r="G7" s="18">
        <v>5</v>
      </c>
      <c r="H7" s="18">
        <v>15</v>
      </c>
      <c r="I7" s="18">
        <v>3</v>
      </c>
      <c r="J7" s="18">
        <v>10</v>
      </c>
      <c r="K7" s="18">
        <v>5</v>
      </c>
      <c r="L7" s="18">
        <v>0</v>
      </c>
      <c r="M7" s="18">
        <v>5</v>
      </c>
      <c r="N7" s="18">
        <v>0</v>
      </c>
      <c r="O7" s="18">
        <v>18</v>
      </c>
      <c r="P7" s="18">
        <v>8</v>
      </c>
      <c r="Q7" s="18">
        <v>2</v>
      </c>
      <c r="R7" s="18">
        <v>12</v>
      </c>
      <c r="S7" s="18">
        <v>0</v>
      </c>
      <c r="T7" s="18">
        <v>3</v>
      </c>
      <c r="U7" s="18">
        <v>3</v>
      </c>
      <c r="V7" s="19">
        <f t="shared" si="0"/>
        <v>100</v>
      </c>
    </row>
    <row r="8" spans="1:22" ht="15" customHeight="1">
      <c r="A8" s="6" t="s">
        <v>275</v>
      </c>
      <c r="B8" s="7" t="s">
        <v>276</v>
      </c>
      <c r="C8" s="7" t="s">
        <v>264</v>
      </c>
      <c r="D8" s="18">
        <v>2</v>
      </c>
      <c r="E8" s="18">
        <v>5</v>
      </c>
      <c r="F8" s="18">
        <v>8</v>
      </c>
      <c r="G8" s="18">
        <v>5</v>
      </c>
      <c r="H8" s="18">
        <v>5</v>
      </c>
      <c r="I8" s="18">
        <v>2</v>
      </c>
      <c r="J8" s="18">
        <v>12</v>
      </c>
      <c r="K8" s="18">
        <v>8</v>
      </c>
      <c r="L8" s="18">
        <v>1</v>
      </c>
      <c r="M8" s="18">
        <v>2</v>
      </c>
      <c r="N8" s="18">
        <v>5</v>
      </c>
      <c r="O8" s="18">
        <v>15</v>
      </c>
      <c r="P8" s="18">
        <v>15</v>
      </c>
      <c r="Q8" s="18">
        <v>3</v>
      </c>
      <c r="R8" s="18">
        <v>10</v>
      </c>
      <c r="S8" s="18">
        <v>0</v>
      </c>
      <c r="T8" s="18">
        <v>2</v>
      </c>
      <c r="U8" s="18">
        <v>0</v>
      </c>
      <c r="V8" s="19">
        <f t="shared" si="0"/>
        <v>100</v>
      </c>
    </row>
    <row r="9" spans="1:22" ht="15" customHeight="1">
      <c r="A9" s="6" t="s">
        <v>277</v>
      </c>
      <c r="B9" s="7" t="s">
        <v>278</v>
      </c>
      <c r="C9" s="7" t="s">
        <v>264</v>
      </c>
      <c r="D9" s="18">
        <v>3</v>
      </c>
      <c r="E9" s="18">
        <v>3</v>
      </c>
      <c r="F9" s="18">
        <v>5</v>
      </c>
      <c r="G9" s="18">
        <v>5</v>
      </c>
      <c r="H9" s="18">
        <v>10</v>
      </c>
      <c r="I9" s="18">
        <v>5</v>
      </c>
      <c r="J9" s="18">
        <v>5</v>
      </c>
      <c r="K9" s="18">
        <v>8</v>
      </c>
      <c r="L9" s="18">
        <v>0</v>
      </c>
      <c r="M9" s="18">
        <v>5</v>
      </c>
      <c r="N9" s="18">
        <v>0</v>
      </c>
      <c r="O9" s="18">
        <v>15</v>
      </c>
      <c r="P9" s="18">
        <v>15</v>
      </c>
      <c r="Q9" s="18">
        <v>2</v>
      </c>
      <c r="R9" s="18">
        <v>12</v>
      </c>
      <c r="S9" s="18">
        <v>0</v>
      </c>
      <c r="T9" s="18">
        <v>5</v>
      </c>
      <c r="U9" s="18">
        <v>2</v>
      </c>
      <c r="V9" s="19">
        <f t="shared" si="0"/>
        <v>100</v>
      </c>
    </row>
    <row r="10" spans="1:22" ht="15" customHeight="1">
      <c r="A10" s="6" t="s">
        <v>279</v>
      </c>
      <c r="B10" s="7" t="s">
        <v>280</v>
      </c>
      <c r="C10" s="7" t="s">
        <v>264</v>
      </c>
      <c r="D10" s="18">
        <v>3</v>
      </c>
      <c r="E10" s="18">
        <v>5</v>
      </c>
      <c r="F10" s="18">
        <v>5</v>
      </c>
      <c r="G10" s="18">
        <v>8</v>
      </c>
      <c r="H10" s="18">
        <v>5</v>
      </c>
      <c r="I10" s="18">
        <v>5</v>
      </c>
      <c r="J10" s="18">
        <v>8</v>
      </c>
      <c r="K10" s="18">
        <v>8</v>
      </c>
      <c r="L10" s="18">
        <v>0</v>
      </c>
      <c r="M10" s="18">
        <v>2</v>
      </c>
      <c r="N10" s="18">
        <v>0</v>
      </c>
      <c r="O10" s="18">
        <v>12</v>
      </c>
      <c r="P10" s="18">
        <v>10</v>
      </c>
      <c r="Q10" s="18">
        <v>8</v>
      </c>
      <c r="R10" s="18">
        <v>15</v>
      </c>
      <c r="S10" s="18">
        <v>0</v>
      </c>
      <c r="T10" s="18">
        <v>3</v>
      </c>
      <c r="U10" s="18">
        <v>3</v>
      </c>
      <c r="V10" s="19">
        <f t="shared" si="0"/>
        <v>100</v>
      </c>
    </row>
    <row r="11" spans="1:22" ht="15" customHeight="1">
      <c r="A11" s="6" t="s">
        <v>281</v>
      </c>
      <c r="B11" s="7" t="s">
        <v>282</v>
      </c>
      <c r="C11" s="7" t="s">
        <v>264</v>
      </c>
      <c r="D11" s="18">
        <v>3</v>
      </c>
      <c r="E11" s="18">
        <v>5</v>
      </c>
      <c r="F11" s="18">
        <v>8</v>
      </c>
      <c r="G11" s="18">
        <v>5</v>
      </c>
      <c r="H11" s="18">
        <v>5</v>
      </c>
      <c r="I11" s="18">
        <v>2</v>
      </c>
      <c r="J11" s="18">
        <v>12</v>
      </c>
      <c r="K11" s="18">
        <v>8</v>
      </c>
      <c r="L11" s="18">
        <v>0</v>
      </c>
      <c r="M11" s="18">
        <v>2</v>
      </c>
      <c r="N11" s="18">
        <v>1</v>
      </c>
      <c r="O11" s="18">
        <v>15</v>
      </c>
      <c r="P11" s="18">
        <v>10</v>
      </c>
      <c r="Q11" s="18">
        <v>3</v>
      </c>
      <c r="R11" s="18">
        <v>12</v>
      </c>
      <c r="S11" s="18">
        <v>0</v>
      </c>
      <c r="T11" s="18">
        <v>5</v>
      </c>
      <c r="U11" s="18">
        <v>4</v>
      </c>
      <c r="V11" s="19">
        <f t="shared" si="0"/>
        <v>100</v>
      </c>
    </row>
    <row r="12" spans="1:22" ht="15" customHeight="1">
      <c r="A12" s="6" t="s">
        <v>283</v>
      </c>
      <c r="B12" s="7" t="s">
        <v>284</v>
      </c>
      <c r="C12" s="7" t="s">
        <v>264</v>
      </c>
      <c r="D12" s="18">
        <v>2</v>
      </c>
      <c r="E12" s="18">
        <v>3</v>
      </c>
      <c r="F12" s="18">
        <v>15</v>
      </c>
      <c r="G12" s="18">
        <v>5</v>
      </c>
      <c r="H12" s="18">
        <v>5</v>
      </c>
      <c r="I12" s="18">
        <v>3</v>
      </c>
      <c r="J12" s="18">
        <v>12</v>
      </c>
      <c r="K12" s="18">
        <v>3</v>
      </c>
      <c r="L12" s="18">
        <v>0</v>
      </c>
      <c r="M12" s="18">
        <v>15</v>
      </c>
      <c r="N12" s="18">
        <v>2</v>
      </c>
      <c r="O12" s="18">
        <v>15</v>
      </c>
      <c r="P12" s="18">
        <v>3</v>
      </c>
      <c r="Q12" s="18">
        <v>5</v>
      </c>
      <c r="R12" s="18">
        <v>10</v>
      </c>
      <c r="S12" s="18">
        <v>0</v>
      </c>
      <c r="T12" s="18">
        <v>2</v>
      </c>
      <c r="U12" s="18">
        <v>0</v>
      </c>
      <c r="V12" s="19">
        <f t="shared" si="0"/>
        <v>100</v>
      </c>
    </row>
    <row r="13" spans="1:22" ht="15" customHeight="1">
      <c r="A13" s="6" t="s">
        <v>285</v>
      </c>
      <c r="B13" s="7" t="s">
        <v>286</v>
      </c>
      <c r="C13" s="7" t="s">
        <v>264</v>
      </c>
      <c r="D13" s="18">
        <v>2</v>
      </c>
      <c r="E13" s="18">
        <v>3</v>
      </c>
      <c r="F13" s="18">
        <v>8</v>
      </c>
      <c r="G13" s="18">
        <v>5</v>
      </c>
      <c r="H13" s="18">
        <v>5</v>
      </c>
      <c r="I13" s="18">
        <v>2</v>
      </c>
      <c r="J13" s="18">
        <v>10</v>
      </c>
      <c r="K13" s="18">
        <v>5</v>
      </c>
      <c r="L13" s="18">
        <v>0</v>
      </c>
      <c r="M13" s="18">
        <v>15</v>
      </c>
      <c r="N13" s="18">
        <v>1</v>
      </c>
      <c r="O13" s="18">
        <v>18</v>
      </c>
      <c r="P13" s="18">
        <v>8</v>
      </c>
      <c r="Q13" s="18">
        <v>3</v>
      </c>
      <c r="R13" s="18">
        <v>12</v>
      </c>
      <c r="S13" s="18">
        <v>0</v>
      </c>
      <c r="T13" s="18">
        <v>3</v>
      </c>
      <c r="U13" s="18">
        <v>0</v>
      </c>
      <c r="V13" s="19">
        <f t="shared" si="0"/>
        <v>100</v>
      </c>
    </row>
    <row r="14" spans="1:22" ht="15" customHeight="1">
      <c r="A14" s="6" t="s">
        <v>287</v>
      </c>
      <c r="B14" s="7" t="s">
        <v>288</v>
      </c>
      <c r="C14" s="7" t="s">
        <v>264</v>
      </c>
      <c r="D14" s="18">
        <v>3</v>
      </c>
      <c r="E14" s="18">
        <v>5</v>
      </c>
      <c r="F14" s="18">
        <v>5</v>
      </c>
      <c r="G14" s="18">
        <v>5</v>
      </c>
      <c r="H14" s="18">
        <v>8</v>
      </c>
      <c r="I14" s="18">
        <v>3</v>
      </c>
      <c r="J14" s="18">
        <v>8</v>
      </c>
      <c r="K14" s="18">
        <v>5</v>
      </c>
      <c r="L14" s="18">
        <v>0</v>
      </c>
      <c r="M14" s="18">
        <v>5</v>
      </c>
      <c r="N14" s="18">
        <v>1</v>
      </c>
      <c r="O14" s="18">
        <v>15</v>
      </c>
      <c r="P14" s="18">
        <v>10</v>
      </c>
      <c r="Q14" s="18">
        <v>3</v>
      </c>
      <c r="R14" s="18">
        <v>15</v>
      </c>
      <c r="S14" s="18">
        <v>0</v>
      </c>
      <c r="T14" s="18">
        <v>5</v>
      </c>
      <c r="U14" s="18">
        <v>4</v>
      </c>
      <c r="V14" s="19">
        <f t="shared" si="0"/>
        <v>100</v>
      </c>
    </row>
    <row r="15" spans="1:22" ht="15" customHeight="1">
      <c r="A15" s="6" t="s">
        <v>289</v>
      </c>
      <c r="B15" s="7" t="s">
        <v>290</v>
      </c>
      <c r="C15" s="7" t="s">
        <v>264</v>
      </c>
      <c r="D15" s="18">
        <v>2</v>
      </c>
      <c r="E15" s="18">
        <v>3</v>
      </c>
      <c r="F15" s="18">
        <v>5</v>
      </c>
      <c r="G15" s="18">
        <v>8</v>
      </c>
      <c r="H15" s="18">
        <v>8</v>
      </c>
      <c r="I15" s="18">
        <v>3</v>
      </c>
      <c r="J15" s="18">
        <v>8</v>
      </c>
      <c r="K15" s="18">
        <v>5</v>
      </c>
      <c r="L15" s="18">
        <v>0</v>
      </c>
      <c r="M15" s="18">
        <v>5</v>
      </c>
      <c r="N15" s="18">
        <v>0</v>
      </c>
      <c r="O15" s="18">
        <v>18</v>
      </c>
      <c r="P15" s="18">
        <v>10</v>
      </c>
      <c r="Q15" s="18">
        <v>3</v>
      </c>
      <c r="R15" s="18">
        <v>15</v>
      </c>
      <c r="S15" s="18">
        <v>0</v>
      </c>
      <c r="T15" s="18">
        <v>5</v>
      </c>
      <c r="U15" s="18">
        <v>2</v>
      </c>
      <c r="V15" s="19">
        <f t="shared" si="0"/>
        <v>100</v>
      </c>
    </row>
    <row r="16" spans="1:22" ht="15" customHeight="1">
      <c r="A16" s="6" t="s">
        <v>291</v>
      </c>
      <c r="B16" s="7" t="s">
        <v>292</v>
      </c>
      <c r="C16" s="7" t="s">
        <v>264</v>
      </c>
      <c r="D16" s="18">
        <v>2</v>
      </c>
      <c r="E16" s="18">
        <v>3</v>
      </c>
      <c r="F16" s="18">
        <v>3</v>
      </c>
      <c r="G16" s="18">
        <v>5</v>
      </c>
      <c r="H16" s="18">
        <v>8</v>
      </c>
      <c r="I16" s="18">
        <v>5</v>
      </c>
      <c r="J16" s="18">
        <v>5</v>
      </c>
      <c r="K16" s="18">
        <v>3</v>
      </c>
      <c r="L16" s="18">
        <v>0</v>
      </c>
      <c r="M16" s="18">
        <v>10</v>
      </c>
      <c r="N16" s="18">
        <v>0</v>
      </c>
      <c r="O16" s="18">
        <v>15</v>
      </c>
      <c r="P16" s="18">
        <v>5</v>
      </c>
      <c r="Q16" s="18">
        <v>5</v>
      </c>
      <c r="R16" s="18">
        <v>15</v>
      </c>
      <c r="S16" s="18">
        <v>0</v>
      </c>
      <c r="T16" s="18">
        <v>10</v>
      </c>
      <c r="U16" s="18">
        <v>6</v>
      </c>
      <c r="V16" s="19">
        <f t="shared" si="0"/>
        <v>100</v>
      </c>
    </row>
    <row r="17" spans="1:22" ht="15" customHeight="1">
      <c r="A17" s="6" t="s">
        <v>293</v>
      </c>
      <c r="B17" s="7" t="s">
        <v>294</v>
      </c>
      <c r="C17" s="7" t="s">
        <v>264</v>
      </c>
      <c r="D17" s="18">
        <v>2</v>
      </c>
      <c r="E17" s="18">
        <v>3</v>
      </c>
      <c r="F17" s="18">
        <v>3</v>
      </c>
      <c r="G17" s="18">
        <v>5</v>
      </c>
      <c r="H17" s="18">
        <v>8</v>
      </c>
      <c r="I17" s="18">
        <v>3</v>
      </c>
      <c r="J17" s="18">
        <v>5</v>
      </c>
      <c r="K17" s="18">
        <v>5</v>
      </c>
      <c r="L17" s="18">
        <v>0</v>
      </c>
      <c r="M17" s="18">
        <v>8</v>
      </c>
      <c r="N17" s="18">
        <v>0</v>
      </c>
      <c r="O17" s="18">
        <v>15</v>
      </c>
      <c r="P17" s="18">
        <v>8</v>
      </c>
      <c r="Q17" s="18">
        <v>3</v>
      </c>
      <c r="R17" s="18">
        <v>15</v>
      </c>
      <c r="S17" s="18">
        <v>0</v>
      </c>
      <c r="T17" s="18">
        <v>10</v>
      </c>
      <c r="U17" s="18">
        <v>7</v>
      </c>
      <c r="V17" s="19">
        <f t="shared" si="0"/>
        <v>100</v>
      </c>
    </row>
    <row r="18" spans="1:22" ht="15" customHeight="1">
      <c r="A18" s="6" t="s">
        <v>295</v>
      </c>
      <c r="B18" s="7" t="s">
        <v>296</v>
      </c>
      <c r="C18" s="7" t="s">
        <v>264</v>
      </c>
      <c r="D18" s="18">
        <v>2</v>
      </c>
      <c r="E18" s="18">
        <v>3</v>
      </c>
      <c r="F18" s="18">
        <v>5</v>
      </c>
      <c r="G18" s="18">
        <v>5</v>
      </c>
      <c r="H18" s="18">
        <v>8</v>
      </c>
      <c r="I18" s="18">
        <v>3</v>
      </c>
      <c r="J18" s="18">
        <v>5</v>
      </c>
      <c r="K18" s="18">
        <v>3</v>
      </c>
      <c r="L18" s="18">
        <v>0</v>
      </c>
      <c r="M18" s="18">
        <v>10</v>
      </c>
      <c r="N18" s="18">
        <v>0</v>
      </c>
      <c r="O18" s="18">
        <v>18</v>
      </c>
      <c r="P18" s="18">
        <v>5</v>
      </c>
      <c r="Q18" s="18">
        <v>3</v>
      </c>
      <c r="R18" s="18">
        <v>15</v>
      </c>
      <c r="S18" s="18">
        <v>0</v>
      </c>
      <c r="T18" s="18">
        <v>8</v>
      </c>
      <c r="U18" s="18">
        <v>7</v>
      </c>
      <c r="V18" s="19">
        <f t="shared" si="0"/>
        <v>100</v>
      </c>
    </row>
    <row r="19" spans="1:22" ht="15" customHeight="1">
      <c r="A19" s="6" t="s">
        <v>297</v>
      </c>
      <c r="B19" s="7" t="s">
        <v>298</v>
      </c>
      <c r="C19" s="7" t="s">
        <v>264</v>
      </c>
      <c r="D19" s="18">
        <v>3</v>
      </c>
      <c r="E19" s="18">
        <v>5</v>
      </c>
      <c r="F19" s="18">
        <v>5</v>
      </c>
      <c r="G19" s="18">
        <v>5</v>
      </c>
      <c r="H19" s="18">
        <v>5</v>
      </c>
      <c r="I19" s="18">
        <v>3</v>
      </c>
      <c r="J19" s="18">
        <v>8</v>
      </c>
      <c r="K19" s="18">
        <v>5</v>
      </c>
      <c r="L19" s="18">
        <v>0</v>
      </c>
      <c r="M19" s="18">
        <v>3</v>
      </c>
      <c r="N19" s="18">
        <v>0</v>
      </c>
      <c r="O19" s="18">
        <v>15</v>
      </c>
      <c r="P19" s="18">
        <v>5</v>
      </c>
      <c r="Q19" s="18">
        <v>3</v>
      </c>
      <c r="R19" s="18">
        <v>15</v>
      </c>
      <c r="S19" s="18">
        <v>12</v>
      </c>
      <c r="T19" s="18">
        <v>4</v>
      </c>
      <c r="U19" s="18">
        <v>4</v>
      </c>
      <c r="V19" s="19">
        <f t="shared" si="0"/>
        <v>100</v>
      </c>
    </row>
    <row r="20" spans="1:22" ht="15" customHeight="1">
      <c r="A20" s="6" t="s">
        <v>299</v>
      </c>
      <c r="B20" s="7" t="s">
        <v>300</v>
      </c>
      <c r="C20" s="7" t="s">
        <v>264</v>
      </c>
      <c r="D20" s="18">
        <v>3</v>
      </c>
      <c r="E20" s="18">
        <v>5</v>
      </c>
      <c r="F20" s="18">
        <v>5</v>
      </c>
      <c r="G20" s="18">
        <v>5</v>
      </c>
      <c r="H20" s="18">
        <v>5</v>
      </c>
      <c r="I20" s="18">
        <v>3</v>
      </c>
      <c r="J20" s="18">
        <v>8</v>
      </c>
      <c r="K20" s="18">
        <v>8</v>
      </c>
      <c r="L20" s="18">
        <v>0</v>
      </c>
      <c r="M20" s="18">
        <v>2</v>
      </c>
      <c r="N20" s="18">
        <v>0</v>
      </c>
      <c r="O20" s="18">
        <v>12</v>
      </c>
      <c r="P20" s="18">
        <v>5</v>
      </c>
      <c r="Q20" s="18">
        <v>5</v>
      </c>
      <c r="R20" s="18">
        <v>12</v>
      </c>
      <c r="S20" s="18">
        <v>15</v>
      </c>
      <c r="T20" s="18">
        <v>3</v>
      </c>
      <c r="U20" s="18">
        <v>4</v>
      </c>
      <c r="V20" s="19">
        <f t="shared" si="0"/>
        <v>100</v>
      </c>
    </row>
    <row r="21" spans="1:22" ht="15" customHeight="1">
      <c r="A21" s="6" t="s">
        <v>301</v>
      </c>
      <c r="B21" s="7" t="s">
        <v>302</v>
      </c>
      <c r="C21" s="7" t="s">
        <v>303</v>
      </c>
      <c r="D21" s="18">
        <v>3</v>
      </c>
      <c r="E21" s="18">
        <v>3</v>
      </c>
      <c r="F21" s="18">
        <v>3</v>
      </c>
      <c r="G21" s="18">
        <v>5</v>
      </c>
      <c r="H21" s="18">
        <v>5</v>
      </c>
      <c r="I21" s="18">
        <v>3</v>
      </c>
      <c r="J21" s="18">
        <v>3</v>
      </c>
      <c r="K21" s="18">
        <v>5</v>
      </c>
      <c r="L21" s="18">
        <v>0</v>
      </c>
      <c r="M21" s="18">
        <v>5</v>
      </c>
      <c r="N21" s="18">
        <v>0</v>
      </c>
      <c r="O21" s="18">
        <v>12</v>
      </c>
      <c r="P21" s="18">
        <v>8</v>
      </c>
      <c r="Q21" s="18">
        <v>3</v>
      </c>
      <c r="R21" s="18">
        <v>12</v>
      </c>
      <c r="S21" s="18">
        <v>0</v>
      </c>
      <c r="T21" s="18">
        <v>15</v>
      </c>
      <c r="U21" s="18">
        <v>15</v>
      </c>
      <c r="V21" s="19">
        <f t="shared" si="0"/>
        <v>100</v>
      </c>
    </row>
    <row r="22" spans="1:22" ht="15" customHeight="1">
      <c r="A22" s="6" t="s">
        <v>304</v>
      </c>
      <c r="B22" s="7" t="s">
        <v>305</v>
      </c>
      <c r="C22" s="7" t="s">
        <v>303</v>
      </c>
      <c r="D22" s="18">
        <v>3</v>
      </c>
      <c r="E22" s="18">
        <v>3</v>
      </c>
      <c r="F22" s="18">
        <v>3</v>
      </c>
      <c r="G22" s="18">
        <v>5</v>
      </c>
      <c r="H22" s="18">
        <v>5</v>
      </c>
      <c r="I22" s="18">
        <v>3</v>
      </c>
      <c r="J22" s="18">
        <v>3</v>
      </c>
      <c r="K22" s="18">
        <v>5</v>
      </c>
      <c r="L22" s="18">
        <v>0</v>
      </c>
      <c r="M22" s="18">
        <v>5</v>
      </c>
      <c r="N22" s="18">
        <v>0</v>
      </c>
      <c r="O22" s="18">
        <v>12</v>
      </c>
      <c r="P22" s="18">
        <v>8</v>
      </c>
      <c r="Q22" s="18">
        <v>3</v>
      </c>
      <c r="R22" s="18">
        <v>12</v>
      </c>
      <c r="S22" s="18">
        <v>0</v>
      </c>
      <c r="T22" s="18">
        <v>15</v>
      </c>
      <c r="U22" s="18">
        <v>15</v>
      </c>
      <c r="V22" s="19">
        <f t="shared" si="0"/>
        <v>100</v>
      </c>
    </row>
    <row r="23" spans="1:22" ht="15" customHeight="1">
      <c r="A23" s="6" t="s">
        <v>306</v>
      </c>
      <c r="B23" s="7" t="s">
        <v>307</v>
      </c>
      <c r="C23" s="7" t="s">
        <v>303</v>
      </c>
      <c r="D23" s="18">
        <v>5</v>
      </c>
      <c r="E23" s="18">
        <v>5</v>
      </c>
      <c r="F23" s="18">
        <v>3</v>
      </c>
      <c r="G23" s="18">
        <v>8</v>
      </c>
      <c r="H23" s="18">
        <v>8</v>
      </c>
      <c r="I23" s="18">
        <v>3</v>
      </c>
      <c r="J23" s="18">
        <v>3</v>
      </c>
      <c r="K23" s="18">
        <v>12</v>
      </c>
      <c r="L23" s="18">
        <v>0</v>
      </c>
      <c r="M23" s="18">
        <v>2</v>
      </c>
      <c r="N23" s="18">
        <v>1</v>
      </c>
      <c r="O23" s="18">
        <v>10</v>
      </c>
      <c r="P23" s="18">
        <v>8</v>
      </c>
      <c r="Q23" s="18">
        <v>3</v>
      </c>
      <c r="R23" s="18">
        <v>12</v>
      </c>
      <c r="S23" s="18">
        <v>0</v>
      </c>
      <c r="T23" s="18">
        <v>8</v>
      </c>
      <c r="U23" s="18">
        <v>9</v>
      </c>
      <c r="V23" s="19">
        <f t="shared" si="0"/>
        <v>100</v>
      </c>
    </row>
    <row r="24" spans="1:22" ht="15" customHeight="1">
      <c r="A24" s="6" t="s">
        <v>308</v>
      </c>
      <c r="B24" s="7" t="s">
        <v>309</v>
      </c>
      <c r="C24" s="7" t="s">
        <v>303</v>
      </c>
      <c r="D24" s="18">
        <v>5</v>
      </c>
      <c r="E24" s="18">
        <v>3</v>
      </c>
      <c r="F24" s="18">
        <v>2</v>
      </c>
      <c r="G24" s="18">
        <v>8</v>
      </c>
      <c r="H24" s="18">
        <v>8</v>
      </c>
      <c r="I24" s="18">
        <v>3</v>
      </c>
      <c r="J24" s="18">
        <v>2</v>
      </c>
      <c r="K24" s="18">
        <v>12</v>
      </c>
      <c r="L24" s="18">
        <v>0</v>
      </c>
      <c r="M24" s="18">
        <v>2</v>
      </c>
      <c r="N24" s="18">
        <v>1</v>
      </c>
      <c r="O24" s="18">
        <v>10</v>
      </c>
      <c r="P24" s="18">
        <v>8</v>
      </c>
      <c r="Q24" s="18">
        <v>3</v>
      </c>
      <c r="R24" s="18">
        <v>12</v>
      </c>
      <c r="S24" s="18">
        <v>0</v>
      </c>
      <c r="T24" s="18">
        <v>10</v>
      </c>
      <c r="U24" s="18">
        <v>11</v>
      </c>
      <c r="V24" s="19">
        <f t="shared" si="0"/>
        <v>100</v>
      </c>
    </row>
    <row r="25" spans="1:22" ht="15" customHeight="1">
      <c r="A25" s="6" t="s">
        <v>310</v>
      </c>
      <c r="B25" s="7" t="s">
        <v>311</v>
      </c>
      <c r="C25" s="7" t="s">
        <v>303</v>
      </c>
      <c r="D25" s="18">
        <v>5</v>
      </c>
      <c r="E25" s="18">
        <v>3</v>
      </c>
      <c r="F25" s="18">
        <v>2</v>
      </c>
      <c r="G25" s="18">
        <v>8</v>
      </c>
      <c r="H25" s="18">
        <v>8</v>
      </c>
      <c r="I25" s="18">
        <v>3</v>
      </c>
      <c r="J25" s="18">
        <v>2</v>
      </c>
      <c r="K25" s="18">
        <v>12</v>
      </c>
      <c r="L25" s="18">
        <v>0</v>
      </c>
      <c r="M25" s="18">
        <v>2</v>
      </c>
      <c r="N25" s="18">
        <v>1</v>
      </c>
      <c r="O25" s="18">
        <v>10</v>
      </c>
      <c r="P25" s="18">
        <v>8</v>
      </c>
      <c r="Q25" s="18">
        <v>3</v>
      </c>
      <c r="R25" s="18">
        <v>12</v>
      </c>
      <c r="S25" s="18">
        <v>0</v>
      </c>
      <c r="T25" s="18">
        <v>10</v>
      </c>
      <c r="U25" s="18">
        <v>11</v>
      </c>
      <c r="V25" s="19">
        <f t="shared" si="0"/>
        <v>100</v>
      </c>
    </row>
    <row r="26" spans="1:22" ht="15" customHeight="1">
      <c r="A26" s="6" t="s">
        <v>312</v>
      </c>
      <c r="B26" s="7" t="s">
        <v>313</v>
      </c>
      <c r="C26" s="7" t="s">
        <v>303</v>
      </c>
      <c r="D26" s="18">
        <v>3</v>
      </c>
      <c r="E26" s="18">
        <v>5</v>
      </c>
      <c r="F26" s="18">
        <v>3</v>
      </c>
      <c r="G26" s="18">
        <v>8</v>
      </c>
      <c r="H26" s="18">
        <v>8</v>
      </c>
      <c r="I26" s="18">
        <v>3</v>
      </c>
      <c r="J26" s="18">
        <v>5</v>
      </c>
      <c r="K26" s="18">
        <v>10</v>
      </c>
      <c r="L26" s="18">
        <v>0</v>
      </c>
      <c r="M26" s="18">
        <v>2</v>
      </c>
      <c r="N26" s="18">
        <v>2</v>
      </c>
      <c r="O26" s="18">
        <v>10</v>
      </c>
      <c r="P26" s="18">
        <v>8</v>
      </c>
      <c r="Q26" s="18">
        <v>5</v>
      </c>
      <c r="R26" s="18">
        <v>12</v>
      </c>
      <c r="S26" s="18">
        <v>0</v>
      </c>
      <c r="T26" s="18">
        <v>8</v>
      </c>
      <c r="U26" s="18">
        <v>8</v>
      </c>
      <c r="V26" s="19">
        <f t="shared" si="0"/>
        <v>100</v>
      </c>
    </row>
    <row r="27" spans="1:22" ht="15" customHeight="1">
      <c r="A27" s="6" t="s">
        <v>314</v>
      </c>
      <c r="B27" s="7" t="s">
        <v>315</v>
      </c>
      <c r="C27" s="7" t="s">
        <v>303</v>
      </c>
      <c r="D27" s="18">
        <v>5</v>
      </c>
      <c r="E27" s="18">
        <v>5</v>
      </c>
      <c r="F27" s="18">
        <v>5</v>
      </c>
      <c r="G27" s="18">
        <v>8</v>
      </c>
      <c r="H27" s="18">
        <v>8</v>
      </c>
      <c r="I27" s="18">
        <v>3</v>
      </c>
      <c r="J27" s="18">
        <v>5</v>
      </c>
      <c r="K27" s="18">
        <v>18</v>
      </c>
      <c r="L27" s="18">
        <v>1</v>
      </c>
      <c r="M27" s="18">
        <v>2</v>
      </c>
      <c r="N27" s="18">
        <v>1</v>
      </c>
      <c r="O27" s="18">
        <v>8</v>
      </c>
      <c r="P27" s="18">
        <v>10</v>
      </c>
      <c r="Q27" s="18">
        <v>3</v>
      </c>
      <c r="R27" s="18">
        <v>10</v>
      </c>
      <c r="S27" s="18">
        <v>0</v>
      </c>
      <c r="T27" s="18">
        <v>5</v>
      </c>
      <c r="U27" s="18">
        <v>3</v>
      </c>
      <c r="V27" s="19">
        <f t="shared" si="0"/>
        <v>100</v>
      </c>
    </row>
    <row r="28" spans="1:22" ht="15" customHeight="1">
      <c r="A28" s="6" t="s">
        <v>316</v>
      </c>
      <c r="B28" s="7" t="s">
        <v>317</v>
      </c>
      <c r="C28" s="7" t="s">
        <v>303</v>
      </c>
      <c r="D28" s="18">
        <v>3</v>
      </c>
      <c r="E28" s="18">
        <v>5</v>
      </c>
      <c r="F28" s="18">
        <v>5</v>
      </c>
      <c r="G28" s="18">
        <v>8</v>
      </c>
      <c r="H28" s="18">
        <v>5</v>
      </c>
      <c r="I28" s="18">
        <v>3</v>
      </c>
      <c r="J28" s="18">
        <v>8</v>
      </c>
      <c r="K28" s="18">
        <v>8</v>
      </c>
      <c r="L28" s="18">
        <v>0</v>
      </c>
      <c r="M28" s="18">
        <v>3</v>
      </c>
      <c r="N28" s="18">
        <v>0</v>
      </c>
      <c r="O28" s="18">
        <v>15</v>
      </c>
      <c r="P28" s="18">
        <v>5</v>
      </c>
      <c r="Q28" s="18">
        <v>3</v>
      </c>
      <c r="R28" s="18">
        <v>15</v>
      </c>
      <c r="S28" s="18">
        <v>10</v>
      </c>
      <c r="T28" s="18">
        <v>4</v>
      </c>
      <c r="U28" s="18">
        <v>0</v>
      </c>
      <c r="V28" s="19">
        <f t="shared" si="0"/>
        <v>100</v>
      </c>
    </row>
    <row r="29" spans="1:22" ht="15" customHeight="1">
      <c r="A29" s="6" t="s">
        <v>318</v>
      </c>
      <c r="B29" s="7" t="s">
        <v>319</v>
      </c>
      <c r="C29" s="7" t="s">
        <v>303</v>
      </c>
      <c r="D29" s="18">
        <v>3</v>
      </c>
      <c r="E29" s="18">
        <v>5</v>
      </c>
      <c r="F29" s="18">
        <v>3</v>
      </c>
      <c r="G29" s="18">
        <v>8</v>
      </c>
      <c r="H29" s="18">
        <v>5</v>
      </c>
      <c r="I29" s="18">
        <v>5</v>
      </c>
      <c r="J29" s="18">
        <v>5</v>
      </c>
      <c r="K29" s="18">
        <v>8</v>
      </c>
      <c r="L29" s="18">
        <v>0</v>
      </c>
      <c r="M29" s="18">
        <v>2</v>
      </c>
      <c r="N29" s="18">
        <v>0</v>
      </c>
      <c r="O29" s="18">
        <v>12</v>
      </c>
      <c r="P29" s="18">
        <v>5</v>
      </c>
      <c r="Q29" s="18">
        <v>5</v>
      </c>
      <c r="R29" s="18">
        <v>12</v>
      </c>
      <c r="S29" s="18">
        <v>15</v>
      </c>
      <c r="T29" s="18">
        <v>4</v>
      </c>
      <c r="U29" s="18">
        <v>3</v>
      </c>
      <c r="V29" s="19">
        <f t="shared" si="0"/>
        <v>100</v>
      </c>
    </row>
    <row r="30" spans="1:22" ht="15" customHeight="1">
      <c r="A30" s="6" t="s">
        <v>320</v>
      </c>
      <c r="B30" s="7" t="s">
        <v>321</v>
      </c>
      <c r="C30" s="7" t="s">
        <v>303</v>
      </c>
      <c r="D30" s="18">
        <v>3</v>
      </c>
      <c r="E30" s="18">
        <v>5</v>
      </c>
      <c r="F30" s="18">
        <v>3</v>
      </c>
      <c r="G30" s="18">
        <v>8</v>
      </c>
      <c r="H30" s="18">
        <v>5</v>
      </c>
      <c r="I30" s="18">
        <v>3</v>
      </c>
      <c r="J30" s="18">
        <v>5</v>
      </c>
      <c r="K30" s="18">
        <v>10</v>
      </c>
      <c r="L30" s="18">
        <v>0</v>
      </c>
      <c r="M30" s="18">
        <v>2</v>
      </c>
      <c r="N30" s="18">
        <v>0</v>
      </c>
      <c r="O30" s="18">
        <v>12</v>
      </c>
      <c r="P30" s="18">
        <v>5</v>
      </c>
      <c r="Q30" s="18">
        <v>8</v>
      </c>
      <c r="R30" s="18">
        <v>12</v>
      </c>
      <c r="S30" s="18">
        <v>12</v>
      </c>
      <c r="T30" s="18">
        <v>4</v>
      </c>
      <c r="U30" s="18">
        <v>3</v>
      </c>
      <c r="V30" s="19">
        <f t="shared" si="0"/>
        <v>100</v>
      </c>
    </row>
    <row r="31" spans="1:22" ht="15" customHeight="1">
      <c r="A31" s="6" t="s">
        <v>322</v>
      </c>
      <c r="B31" s="7" t="s">
        <v>323</v>
      </c>
      <c r="C31" s="7" t="s">
        <v>303</v>
      </c>
      <c r="D31" s="18">
        <v>3</v>
      </c>
      <c r="E31" s="18">
        <v>5</v>
      </c>
      <c r="F31" s="18">
        <v>3</v>
      </c>
      <c r="G31" s="18">
        <v>10</v>
      </c>
      <c r="H31" s="18">
        <v>8</v>
      </c>
      <c r="I31" s="18">
        <v>5</v>
      </c>
      <c r="J31" s="18">
        <v>3</v>
      </c>
      <c r="K31" s="18">
        <v>5</v>
      </c>
      <c r="L31" s="18">
        <v>0</v>
      </c>
      <c r="M31" s="18">
        <v>5</v>
      </c>
      <c r="N31" s="18">
        <v>0</v>
      </c>
      <c r="O31" s="18">
        <v>12</v>
      </c>
      <c r="P31" s="18">
        <v>5</v>
      </c>
      <c r="Q31" s="18">
        <v>3</v>
      </c>
      <c r="R31" s="18">
        <v>15</v>
      </c>
      <c r="S31" s="18">
        <v>0</v>
      </c>
      <c r="T31" s="18">
        <v>10</v>
      </c>
      <c r="U31" s="18">
        <v>8</v>
      </c>
      <c r="V31" s="19">
        <f t="shared" si="0"/>
        <v>100</v>
      </c>
    </row>
    <row r="32" spans="1:22" ht="15" customHeight="1">
      <c r="A32" s="6" t="s">
        <v>324</v>
      </c>
      <c r="B32" s="7" t="s">
        <v>325</v>
      </c>
      <c r="C32" s="7" t="s">
        <v>303</v>
      </c>
      <c r="D32" s="18">
        <v>3</v>
      </c>
      <c r="E32" s="18">
        <v>5</v>
      </c>
      <c r="F32" s="18">
        <v>3</v>
      </c>
      <c r="G32" s="18">
        <v>10</v>
      </c>
      <c r="H32" s="18">
        <v>8</v>
      </c>
      <c r="I32" s="18">
        <v>5</v>
      </c>
      <c r="J32" s="18">
        <v>3</v>
      </c>
      <c r="K32" s="18">
        <v>5</v>
      </c>
      <c r="L32" s="18">
        <v>0</v>
      </c>
      <c r="M32" s="18">
        <v>5</v>
      </c>
      <c r="N32" s="18">
        <v>0</v>
      </c>
      <c r="O32" s="18">
        <v>10</v>
      </c>
      <c r="P32" s="18">
        <v>5</v>
      </c>
      <c r="Q32" s="18">
        <v>3</v>
      </c>
      <c r="R32" s="18">
        <v>15</v>
      </c>
      <c r="S32" s="18">
        <v>0</v>
      </c>
      <c r="T32" s="18">
        <v>10</v>
      </c>
      <c r="U32" s="18">
        <v>10</v>
      </c>
      <c r="V32" s="19">
        <f t="shared" si="0"/>
        <v>100</v>
      </c>
    </row>
    <row r="33" spans="1:22" ht="15" customHeight="1">
      <c r="A33" s="6" t="s">
        <v>326</v>
      </c>
      <c r="B33" s="7" t="s">
        <v>327</v>
      </c>
      <c r="C33" s="7" t="s">
        <v>303</v>
      </c>
      <c r="D33" s="18">
        <v>3</v>
      </c>
      <c r="E33" s="18">
        <v>5</v>
      </c>
      <c r="F33" s="18">
        <v>5</v>
      </c>
      <c r="G33" s="18">
        <v>10</v>
      </c>
      <c r="H33" s="18">
        <v>8</v>
      </c>
      <c r="I33" s="18">
        <v>5</v>
      </c>
      <c r="J33" s="18">
        <v>5</v>
      </c>
      <c r="K33" s="18">
        <v>5</v>
      </c>
      <c r="L33" s="18">
        <v>0</v>
      </c>
      <c r="M33" s="18">
        <v>5</v>
      </c>
      <c r="N33" s="18">
        <v>0</v>
      </c>
      <c r="O33" s="18">
        <v>12</v>
      </c>
      <c r="P33" s="18">
        <v>8</v>
      </c>
      <c r="Q33" s="18">
        <v>3</v>
      </c>
      <c r="R33" s="18">
        <v>15</v>
      </c>
      <c r="S33" s="18">
        <v>0</v>
      </c>
      <c r="T33" s="18">
        <v>8</v>
      </c>
      <c r="U33" s="18">
        <v>3</v>
      </c>
      <c r="V33" s="19">
        <f t="shared" si="0"/>
        <v>100</v>
      </c>
    </row>
    <row r="34" spans="1:22" ht="15" customHeight="1">
      <c r="A34" s="6" t="s">
        <v>328</v>
      </c>
      <c r="B34" s="7" t="s">
        <v>329</v>
      </c>
      <c r="C34" s="7" t="s">
        <v>303</v>
      </c>
      <c r="D34" s="18">
        <v>3</v>
      </c>
      <c r="E34" s="18">
        <v>5</v>
      </c>
      <c r="F34" s="18">
        <v>5</v>
      </c>
      <c r="G34" s="18">
        <v>8</v>
      </c>
      <c r="H34" s="18">
        <v>8</v>
      </c>
      <c r="I34" s="18">
        <v>3</v>
      </c>
      <c r="J34" s="18">
        <v>5</v>
      </c>
      <c r="K34" s="18">
        <v>10</v>
      </c>
      <c r="L34" s="18">
        <v>0</v>
      </c>
      <c r="M34" s="18">
        <v>3</v>
      </c>
      <c r="N34" s="18">
        <v>0</v>
      </c>
      <c r="O34" s="18">
        <v>12</v>
      </c>
      <c r="P34" s="18">
        <v>10</v>
      </c>
      <c r="Q34" s="18">
        <v>2</v>
      </c>
      <c r="R34" s="18">
        <v>10</v>
      </c>
      <c r="S34" s="18">
        <v>0</v>
      </c>
      <c r="T34" s="18">
        <v>10</v>
      </c>
      <c r="U34" s="18">
        <v>6</v>
      </c>
      <c r="V34" s="19">
        <f t="shared" si="0"/>
        <v>100</v>
      </c>
    </row>
    <row r="35" spans="1:22" ht="15" customHeight="1">
      <c r="A35" s="6" t="s">
        <v>330</v>
      </c>
      <c r="B35" s="7" t="s">
        <v>331</v>
      </c>
      <c r="C35" s="7" t="s">
        <v>303</v>
      </c>
      <c r="D35" s="18">
        <v>3</v>
      </c>
      <c r="E35" s="18">
        <v>3</v>
      </c>
      <c r="F35" s="18">
        <v>3</v>
      </c>
      <c r="G35" s="18">
        <v>5</v>
      </c>
      <c r="H35" s="18">
        <v>8</v>
      </c>
      <c r="I35" s="18">
        <v>3</v>
      </c>
      <c r="J35" s="18">
        <v>3</v>
      </c>
      <c r="K35" s="18">
        <v>10</v>
      </c>
      <c r="L35" s="18">
        <v>0</v>
      </c>
      <c r="M35" s="18">
        <v>8</v>
      </c>
      <c r="N35" s="18">
        <v>0</v>
      </c>
      <c r="O35" s="18">
        <v>10</v>
      </c>
      <c r="P35" s="18">
        <v>8</v>
      </c>
      <c r="Q35" s="18">
        <v>3</v>
      </c>
      <c r="R35" s="18">
        <v>12</v>
      </c>
      <c r="S35" s="18">
        <v>0</v>
      </c>
      <c r="T35" s="18">
        <v>15</v>
      </c>
      <c r="U35" s="18">
        <v>6</v>
      </c>
      <c r="V35" s="19">
        <f t="shared" si="0"/>
        <v>100</v>
      </c>
    </row>
    <row r="36" spans="1:22" ht="15" customHeight="1">
      <c r="A36" s="6" t="s">
        <v>332</v>
      </c>
      <c r="B36" s="7" t="s">
        <v>333</v>
      </c>
      <c r="C36" s="7" t="s">
        <v>303</v>
      </c>
      <c r="D36" s="18">
        <v>3</v>
      </c>
      <c r="E36" s="18">
        <v>3</v>
      </c>
      <c r="F36" s="18">
        <v>2</v>
      </c>
      <c r="G36" s="18">
        <v>8</v>
      </c>
      <c r="H36" s="18">
        <v>8</v>
      </c>
      <c r="I36" s="18">
        <v>3</v>
      </c>
      <c r="J36" s="18">
        <v>2</v>
      </c>
      <c r="K36" s="18">
        <v>15</v>
      </c>
      <c r="L36" s="18">
        <v>0</v>
      </c>
      <c r="M36" s="18">
        <v>2</v>
      </c>
      <c r="N36" s="18">
        <v>2</v>
      </c>
      <c r="O36" s="18">
        <v>8</v>
      </c>
      <c r="P36" s="18">
        <v>8</v>
      </c>
      <c r="Q36" s="18">
        <v>5</v>
      </c>
      <c r="R36" s="18">
        <v>10</v>
      </c>
      <c r="S36" s="18">
        <v>15</v>
      </c>
      <c r="T36" s="18">
        <v>5</v>
      </c>
      <c r="U36" s="18">
        <v>1</v>
      </c>
      <c r="V36" s="19">
        <f t="shared" si="0"/>
        <v>100</v>
      </c>
    </row>
    <row r="37" spans="1:22" ht="15" customHeight="1">
      <c r="A37" s="6" t="s">
        <v>334</v>
      </c>
      <c r="B37" s="7" t="s">
        <v>335</v>
      </c>
      <c r="C37" s="7" t="s">
        <v>303</v>
      </c>
      <c r="D37" s="18">
        <v>5</v>
      </c>
      <c r="E37" s="18">
        <v>3</v>
      </c>
      <c r="F37" s="18">
        <v>3</v>
      </c>
      <c r="G37" s="18">
        <v>5</v>
      </c>
      <c r="H37" s="18">
        <v>10</v>
      </c>
      <c r="I37" s="18">
        <v>5</v>
      </c>
      <c r="J37" s="18">
        <v>2</v>
      </c>
      <c r="K37" s="18">
        <v>15</v>
      </c>
      <c r="L37" s="18">
        <v>0</v>
      </c>
      <c r="M37" s="18">
        <v>2</v>
      </c>
      <c r="N37" s="18">
        <v>1</v>
      </c>
      <c r="O37" s="18">
        <v>10</v>
      </c>
      <c r="P37" s="18">
        <v>10</v>
      </c>
      <c r="Q37" s="18">
        <v>2</v>
      </c>
      <c r="R37" s="18">
        <v>10</v>
      </c>
      <c r="S37" s="18">
        <v>0</v>
      </c>
      <c r="T37" s="18">
        <v>12</v>
      </c>
      <c r="U37" s="18">
        <v>5</v>
      </c>
      <c r="V37" s="19">
        <f t="shared" si="0"/>
        <v>100</v>
      </c>
    </row>
    <row r="38" spans="1:22" ht="15" customHeight="1">
      <c r="A38" s="6" t="s">
        <v>336</v>
      </c>
      <c r="B38" s="7" t="s">
        <v>337</v>
      </c>
      <c r="C38" s="7" t="s">
        <v>303</v>
      </c>
      <c r="D38" s="18">
        <v>3</v>
      </c>
      <c r="E38" s="18">
        <v>5</v>
      </c>
      <c r="F38" s="18">
        <v>5</v>
      </c>
      <c r="G38" s="18">
        <v>8</v>
      </c>
      <c r="H38" s="18">
        <v>5</v>
      </c>
      <c r="I38" s="18">
        <v>3</v>
      </c>
      <c r="J38" s="18">
        <v>10</v>
      </c>
      <c r="K38" s="18">
        <v>8</v>
      </c>
      <c r="L38" s="18">
        <v>1</v>
      </c>
      <c r="M38" s="18">
        <v>3</v>
      </c>
      <c r="N38" s="18">
        <v>12</v>
      </c>
      <c r="O38" s="18">
        <v>12</v>
      </c>
      <c r="P38" s="18">
        <v>8</v>
      </c>
      <c r="Q38" s="18">
        <v>3</v>
      </c>
      <c r="R38" s="18">
        <v>10</v>
      </c>
      <c r="S38" s="18">
        <v>0</v>
      </c>
      <c r="T38" s="18">
        <v>4</v>
      </c>
      <c r="U38" s="18">
        <v>0</v>
      </c>
      <c r="V38" s="19">
        <f t="shared" si="0"/>
        <v>100</v>
      </c>
    </row>
    <row r="39" spans="1:22" ht="15" customHeight="1">
      <c r="A39" s="6" t="s">
        <v>338</v>
      </c>
      <c r="B39" s="7" t="s">
        <v>339</v>
      </c>
      <c r="C39" s="7" t="s">
        <v>303</v>
      </c>
      <c r="D39" s="18">
        <v>5</v>
      </c>
      <c r="E39" s="18">
        <v>3</v>
      </c>
      <c r="F39" s="18">
        <v>2</v>
      </c>
      <c r="G39" s="18">
        <v>5</v>
      </c>
      <c r="H39" s="18">
        <v>8</v>
      </c>
      <c r="I39" s="18">
        <v>5</v>
      </c>
      <c r="J39" s="18">
        <v>2</v>
      </c>
      <c r="K39" s="18">
        <v>12</v>
      </c>
      <c r="L39" s="18">
        <v>0</v>
      </c>
      <c r="M39" s="18">
        <v>3</v>
      </c>
      <c r="N39" s="18">
        <v>0</v>
      </c>
      <c r="O39" s="18">
        <v>10</v>
      </c>
      <c r="P39" s="18">
        <v>5</v>
      </c>
      <c r="Q39" s="18">
        <v>3</v>
      </c>
      <c r="R39" s="18">
        <v>12</v>
      </c>
      <c r="S39" s="18">
        <v>0</v>
      </c>
      <c r="T39" s="18">
        <v>15</v>
      </c>
      <c r="U39" s="18">
        <v>10</v>
      </c>
      <c r="V39" s="19">
        <f t="shared" si="0"/>
        <v>100</v>
      </c>
    </row>
    <row r="40" spans="1:22" ht="15" customHeight="1">
      <c r="A40" s="6" t="s">
        <v>340</v>
      </c>
      <c r="B40" s="7" t="s">
        <v>341</v>
      </c>
      <c r="C40" s="7" t="s">
        <v>303</v>
      </c>
      <c r="D40" s="18">
        <v>5</v>
      </c>
      <c r="E40" s="18">
        <v>5</v>
      </c>
      <c r="F40" s="18">
        <v>3</v>
      </c>
      <c r="G40" s="18">
        <v>8</v>
      </c>
      <c r="H40" s="18">
        <v>8</v>
      </c>
      <c r="I40" s="18">
        <v>5</v>
      </c>
      <c r="J40" s="18">
        <v>3</v>
      </c>
      <c r="K40" s="18">
        <v>12</v>
      </c>
      <c r="L40" s="18">
        <v>0</v>
      </c>
      <c r="M40" s="18">
        <v>3</v>
      </c>
      <c r="N40" s="18">
        <v>0</v>
      </c>
      <c r="O40" s="18">
        <v>10</v>
      </c>
      <c r="P40" s="18">
        <v>8</v>
      </c>
      <c r="Q40" s="18">
        <v>3</v>
      </c>
      <c r="R40" s="18">
        <v>12</v>
      </c>
      <c r="S40" s="18">
        <v>0</v>
      </c>
      <c r="T40" s="18">
        <v>10</v>
      </c>
      <c r="U40" s="18">
        <v>5</v>
      </c>
      <c r="V40" s="19">
        <f t="shared" si="0"/>
        <v>100</v>
      </c>
    </row>
    <row r="41" spans="1:22" ht="15" customHeight="1">
      <c r="A41" s="6" t="s">
        <v>342</v>
      </c>
      <c r="B41" s="7" t="s">
        <v>343</v>
      </c>
      <c r="C41" s="7" t="s">
        <v>303</v>
      </c>
      <c r="D41" s="18">
        <v>2</v>
      </c>
      <c r="E41" s="18">
        <v>3</v>
      </c>
      <c r="F41" s="18">
        <v>10</v>
      </c>
      <c r="G41" s="18">
        <v>5</v>
      </c>
      <c r="H41" s="18">
        <v>5</v>
      </c>
      <c r="I41" s="18">
        <v>2</v>
      </c>
      <c r="J41" s="18">
        <v>15</v>
      </c>
      <c r="K41" s="18">
        <v>8</v>
      </c>
      <c r="L41" s="18">
        <v>0</v>
      </c>
      <c r="M41" s="18">
        <v>5</v>
      </c>
      <c r="N41" s="18">
        <v>2</v>
      </c>
      <c r="O41" s="18">
        <v>15</v>
      </c>
      <c r="P41" s="18">
        <v>12</v>
      </c>
      <c r="Q41" s="18">
        <v>3</v>
      </c>
      <c r="R41" s="18">
        <v>10</v>
      </c>
      <c r="S41" s="18">
        <v>0</v>
      </c>
      <c r="T41" s="18">
        <v>3</v>
      </c>
      <c r="U41" s="18">
        <v>0</v>
      </c>
      <c r="V41" s="19">
        <f t="shared" si="0"/>
        <v>100</v>
      </c>
    </row>
    <row r="42" spans="1:22" ht="15" customHeight="1">
      <c r="A42" s="6" t="s">
        <v>344</v>
      </c>
      <c r="B42" s="7" t="s">
        <v>345</v>
      </c>
      <c r="C42" s="7" t="s">
        <v>303</v>
      </c>
      <c r="D42" s="18">
        <v>3</v>
      </c>
      <c r="E42" s="18">
        <v>5</v>
      </c>
      <c r="F42" s="18">
        <v>5</v>
      </c>
      <c r="G42" s="18">
        <v>8</v>
      </c>
      <c r="H42" s="18">
        <v>8</v>
      </c>
      <c r="I42" s="18">
        <v>3</v>
      </c>
      <c r="J42" s="18">
        <v>5</v>
      </c>
      <c r="K42" s="18">
        <v>10</v>
      </c>
      <c r="L42" s="18">
        <v>0</v>
      </c>
      <c r="M42" s="18">
        <v>3</v>
      </c>
      <c r="N42" s="18">
        <v>1</v>
      </c>
      <c r="O42" s="18">
        <v>12</v>
      </c>
      <c r="P42" s="18">
        <v>8</v>
      </c>
      <c r="Q42" s="18">
        <v>3</v>
      </c>
      <c r="R42" s="18">
        <v>12</v>
      </c>
      <c r="S42" s="18">
        <v>0</v>
      </c>
      <c r="T42" s="18">
        <v>8</v>
      </c>
      <c r="U42" s="18">
        <v>6</v>
      </c>
      <c r="V42" s="19">
        <f t="shared" si="0"/>
        <v>100</v>
      </c>
    </row>
    <row r="43" spans="1:22" ht="15" customHeight="1">
      <c r="A43" s="6" t="s">
        <v>346</v>
      </c>
      <c r="B43" s="7" t="s">
        <v>347</v>
      </c>
      <c r="C43" s="7" t="s">
        <v>348</v>
      </c>
      <c r="D43" s="18">
        <v>5</v>
      </c>
      <c r="E43" s="18">
        <v>3</v>
      </c>
      <c r="F43" s="18">
        <v>18</v>
      </c>
      <c r="G43" s="18">
        <v>2</v>
      </c>
      <c r="H43" s="18">
        <v>8</v>
      </c>
      <c r="I43" s="18">
        <v>5</v>
      </c>
      <c r="J43" s="18">
        <v>12</v>
      </c>
      <c r="K43" s="18">
        <v>2</v>
      </c>
      <c r="L43" s="18">
        <v>1</v>
      </c>
      <c r="M43" s="18">
        <v>25</v>
      </c>
      <c r="N43" s="18">
        <v>0</v>
      </c>
      <c r="O43" s="18">
        <v>8</v>
      </c>
      <c r="P43" s="18">
        <v>1</v>
      </c>
      <c r="Q43" s="18">
        <v>5</v>
      </c>
      <c r="R43" s="18">
        <v>3</v>
      </c>
      <c r="S43" s="18">
        <v>0</v>
      </c>
      <c r="T43" s="18">
        <v>2</v>
      </c>
      <c r="U43" s="18">
        <v>0</v>
      </c>
      <c r="V43" s="19">
        <f t="shared" si="0"/>
        <v>100</v>
      </c>
    </row>
    <row r="44" spans="1:22" ht="15" customHeight="1">
      <c r="A44" s="6" t="s">
        <v>349</v>
      </c>
      <c r="B44" s="7" t="s">
        <v>350</v>
      </c>
      <c r="C44" s="7" t="s">
        <v>348</v>
      </c>
      <c r="D44" s="18">
        <v>5</v>
      </c>
      <c r="E44" s="18">
        <v>3</v>
      </c>
      <c r="F44" s="18">
        <v>18</v>
      </c>
      <c r="G44" s="18">
        <v>2</v>
      </c>
      <c r="H44" s="18">
        <v>8</v>
      </c>
      <c r="I44" s="18">
        <v>5</v>
      </c>
      <c r="J44" s="18">
        <v>12</v>
      </c>
      <c r="K44" s="18">
        <v>2</v>
      </c>
      <c r="L44" s="18">
        <v>1</v>
      </c>
      <c r="M44" s="18">
        <v>25</v>
      </c>
      <c r="N44" s="18">
        <v>0</v>
      </c>
      <c r="O44" s="18">
        <v>8</v>
      </c>
      <c r="P44" s="18">
        <v>1</v>
      </c>
      <c r="Q44" s="18">
        <v>5</v>
      </c>
      <c r="R44" s="18">
        <v>3</v>
      </c>
      <c r="S44" s="18">
        <v>0</v>
      </c>
      <c r="T44" s="18">
        <v>2</v>
      </c>
      <c r="U44" s="18">
        <v>0</v>
      </c>
      <c r="V44" s="19">
        <f t="shared" si="0"/>
        <v>100</v>
      </c>
    </row>
    <row r="45" spans="1:22" ht="15" customHeight="1">
      <c r="A45" s="6" t="s">
        <v>351</v>
      </c>
      <c r="B45" s="7" t="s">
        <v>352</v>
      </c>
      <c r="C45" s="7" t="s">
        <v>348</v>
      </c>
      <c r="D45" s="18">
        <v>5</v>
      </c>
      <c r="E45" s="18">
        <v>3</v>
      </c>
      <c r="F45" s="18">
        <v>15</v>
      </c>
      <c r="G45" s="18">
        <v>2</v>
      </c>
      <c r="H45" s="18">
        <v>8</v>
      </c>
      <c r="I45" s="18">
        <v>5</v>
      </c>
      <c r="J45" s="18">
        <v>12</v>
      </c>
      <c r="K45" s="18">
        <v>2</v>
      </c>
      <c r="L45" s="18">
        <v>1</v>
      </c>
      <c r="M45" s="18">
        <v>28</v>
      </c>
      <c r="N45" s="18">
        <v>0</v>
      </c>
      <c r="O45" s="18">
        <v>8</v>
      </c>
      <c r="P45" s="18">
        <v>1</v>
      </c>
      <c r="Q45" s="18">
        <v>5</v>
      </c>
      <c r="R45" s="18">
        <v>3</v>
      </c>
      <c r="S45" s="18">
        <v>0</v>
      </c>
      <c r="T45" s="18">
        <v>2</v>
      </c>
      <c r="U45" s="18">
        <v>0</v>
      </c>
      <c r="V45" s="19">
        <f t="shared" si="0"/>
        <v>100</v>
      </c>
    </row>
    <row r="46" spans="1:22" ht="15" customHeight="1">
      <c r="A46" s="6" t="s">
        <v>353</v>
      </c>
      <c r="B46" s="7" t="s">
        <v>354</v>
      </c>
      <c r="C46" s="7" t="s">
        <v>348</v>
      </c>
      <c r="D46" s="18">
        <v>5</v>
      </c>
      <c r="E46" s="18">
        <v>3</v>
      </c>
      <c r="F46" s="18">
        <v>18</v>
      </c>
      <c r="G46" s="18">
        <v>2</v>
      </c>
      <c r="H46" s="18">
        <v>8</v>
      </c>
      <c r="I46" s="18">
        <v>5</v>
      </c>
      <c r="J46" s="18">
        <v>12</v>
      </c>
      <c r="K46" s="18">
        <v>2</v>
      </c>
      <c r="L46" s="18">
        <v>1</v>
      </c>
      <c r="M46" s="18">
        <v>25</v>
      </c>
      <c r="N46" s="18">
        <v>0</v>
      </c>
      <c r="O46" s="18">
        <v>8</v>
      </c>
      <c r="P46" s="18">
        <v>1</v>
      </c>
      <c r="Q46" s="18">
        <v>5</v>
      </c>
      <c r="R46" s="18">
        <v>3</v>
      </c>
      <c r="S46" s="18">
        <v>0</v>
      </c>
      <c r="T46" s="18">
        <v>2</v>
      </c>
      <c r="U46" s="18">
        <v>0</v>
      </c>
      <c r="V46" s="19">
        <f t="shared" si="0"/>
        <v>100</v>
      </c>
    </row>
    <row r="47" spans="1:22" ht="15" customHeight="1">
      <c r="A47" s="6" t="s">
        <v>355</v>
      </c>
      <c r="B47" s="7" t="s">
        <v>356</v>
      </c>
      <c r="C47" s="7" t="s">
        <v>348</v>
      </c>
      <c r="D47" s="18">
        <v>3</v>
      </c>
      <c r="E47" s="18">
        <v>5</v>
      </c>
      <c r="F47" s="18">
        <v>20</v>
      </c>
      <c r="G47" s="18">
        <v>3</v>
      </c>
      <c r="H47" s="18">
        <v>5</v>
      </c>
      <c r="I47" s="18">
        <v>3</v>
      </c>
      <c r="J47" s="18">
        <v>20</v>
      </c>
      <c r="K47" s="18">
        <v>3</v>
      </c>
      <c r="L47" s="18">
        <v>2</v>
      </c>
      <c r="M47" s="18">
        <v>5</v>
      </c>
      <c r="N47" s="18">
        <v>0</v>
      </c>
      <c r="O47" s="18">
        <v>10</v>
      </c>
      <c r="P47" s="18">
        <v>3</v>
      </c>
      <c r="Q47" s="18">
        <v>8</v>
      </c>
      <c r="R47" s="18">
        <v>5</v>
      </c>
      <c r="S47" s="18">
        <v>0</v>
      </c>
      <c r="T47" s="18">
        <v>5</v>
      </c>
      <c r="U47" s="18">
        <v>0</v>
      </c>
      <c r="V47" s="19">
        <f t="shared" si="0"/>
        <v>100</v>
      </c>
    </row>
    <row r="48" spans="1:22" ht="15" customHeight="1">
      <c r="A48" s="6" t="s">
        <v>357</v>
      </c>
      <c r="B48" s="7" t="s">
        <v>358</v>
      </c>
      <c r="C48" s="7" t="s">
        <v>348</v>
      </c>
      <c r="D48" s="18">
        <v>5</v>
      </c>
      <c r="E48" s="18">
        <v>3</v>
      </c>
      <c r="F48" s="18">
        <v>18</v>
      </c>
      <c r="G48" s="18">
        <v>2</v>
      </c>
      <c r="H48" s="18">
        <v>8</v>
      </c>
      <c r="I48" s="18">
        <v>5</v>
      </c>
      <c r="J48" s="18">
        <v>12</v>
      </c>
      <c r="K48" s="18">
        <v>3</v>
      </c>
      <c r="L48" s="18">
        <v>1</v>
      </c>
      <c r="M48" s="18">
        <v>22</v>
      </c>
      <c r="N48" s="18">
        <v>0</v>
      </c>
      <c r="O48" s="18">
        <v>8</v>
      </c>
      <c r="P48" s="18">
        <v>2</v>
      </c>
      <c r="Q48" s="18">
        <v>5</v>
      </c>
      <c r="R48" s="18">
        <v>4</v>
      </c>
      <c r="S48" s="18">
        <v>0</v>
      </c>
      <c r="T48" s="18">
        <v>2</v>
      </c>
      <c r="U48" s="18">
        <v>0</v>
      </c>
      <c r="V48" s="19">
        <f t="shared" si="0"/>
        <v>100</v>
      </c>
    </row>
    <row r="49" spans="1:22" ht="15" customHeight="1">
      <c r="A49" s="6" t="s">
        <v>359</v>
      </c>
      <c r="B49" s="7" t="s">
        <v>360</v>
      </c>
      <c r="C49" s="7" t="s">
        <v>348</v>
      </c>
      <c r="D49" s="18">
        <v>3</v>
      </c>
      <c r="E49" s="18">
        <v>3</v>
      </c>
      <c r="F49" s="18">
        <v>10</v>
      </c>
      <c r="G49" s="18">
        <v>3</v>
      </c>
      <c r="H49" s="18">
        <v>10</v>
      </c>
      <c r="I49" s="18">
        <v>3</v>
      </c>
      <c r="J49" s="18">
        <v>15</v>
      </c>
      <c r="K49" s="18">
        <v>5</v>
      </c>
      <c r="L49" s="18">
        <v>0</v>
      </c>
      <c r="M49" s="18">
        <v>25</v>
      </c>
      <c r="N49" s="18">
        <v>2</v>
      </c>
      <c r="O49" s="18">
        <v>8</v>
      </c>
      <c r="P49" s="18">
        <v>3</v>
      </c>
      <c r="Q49" s="18">
        <v>3</v>
      </c>
      <c r="R49" s="18">
        <v>5</v>
      </c>
      <c r="S49" s="18">
        <v>0</v>
      </c>
      <c r="T49" s="18">
        <v>2</v>
      </c>
      <c r="U49" s="18">
        <v>0</v>
      </c>
      <c r="V49" s="19">
        <f t="shared" si="0"/>
        <v>100</v>
      </c>
    </row>
    <row r="50" spans="1:22" ht="15" customHeight="1">
      <c r="A50" s="6" t="s">
        <v>361</v>
      </c>
      <c r="B50" s="7" t="s">
        <v>362</v>
      </c>
      <c r="C50" s="7" t="s">
        <v>348</v>
      </c>
      <c r="D50" s="18">
        <v>3</v>
      </c>
      <c r="E50" s="18">
        <v>3</v>
      </c>
      <c r="F50" s="18">
        <v>10</v>
      </c>
      <c r="G50" s="18">
        <v>3</v>
      </c>
      <c r="H50" s="18">
        <v>10</v>
      </c>
      <c r="I50" s="18">
        <v>3</v>
      </c>
      <c r="J50" s="18">
        <v>12</v>
      </c>
      <c r="K50" s="18">
        <v>3</v>
      </c>
      <c r="L50" s="18">
        <v>0</v>
      </c>
      <c r="M50" s="18">
        <v>30</v>
      </c>
      <c r="N50" s="18">
        <v>2</v>
      </c>
      <c r="O50" s="18">
        <v>8</v>
      </c>
      <c r="P50" s="18">
        <v>2</v>
      </c>
      <c r="Q50" s="18">
        <v>3</v>
      </c>
      <c r="R50" s="18">
        <v>5</v>
      </c>
      <c r="S50" s="18">
        <v>0</v>
      </c>
      <c r="T50" s="18">
        <v>3</v>
      </c>
      <c r="U50" s="18">
        <v>0</v>
      </c>
      <c r="V50" s="19">
        <f t="shared" si="0"/>
        <v>100</v>
      </c>
    </row>
    <row r="51" spans="1:22" ht="15" customHeight="1">
      <c r="A51" s="6" t="s">
        <v>363</v>
      </c>
      <c r="B51" s="7" t="s">
        <v>364</v>
      </c>
      <c r="C51" s="7" t="s">
        <v>348</v>
      </c>
      <c r="D51" s="18">
        <v>3</v>
      </c>
      <c r="E51" s="18">
        <v>3</v>
      </c>
      <c r="F51" s="18">
        <v>10</v>
      </c>
      <c r="G51" s="18">
        <v>3</v>
      </c>
      <c r="H51" s="18">
        <v>10</v>
      </c>
      <c r="I51" s="18">
        <v>3</v>
      </c>
      <c r="J51" s="18">
        <v>12</v>
      </c>
      <c r="K51" s="18">
        <v>3</v>
      </c>
      <c r="L51" s="18">
        <v>0</v>
      </c>
      <c r="M51" s="18">
        <v>30</v>
      </c>
      <c r="N51" s="18">
        <v>2</v>
      </c>
      <c r="O51" s="18">
        <v>8</v>
      </c>
      <c r="P51" s="18">
        <v>2</v>
      </c>
      <c r="Q51" s="18">
        <v>3</v>
      </c>
      <c r="R51" s="18">
        <v>5</v>
      </c>
      <c r="S51" s="18">
        <v>0</v>
      </c>
      <c r="T51" s="18">
        <v>3</v>
      </c>
      <c r="U51" s="18">
        <v>0</v>
      </c>
      <c r="V51" s="19">
        <f t="shared" si="0"/>
        <v>100</v>
      </c>
    </row>
    <row r="52" spans="1:22" ht="15" customHeight="1">
      <c r="A52" s="6" t="s">
        <v>365</v>
      </c>
      <c r="B52" s="7" t="s">
        <v>366</v>
      </c>
      <c r="C52" s="7" t="s">
        <v>348</v>
      </c>
      <c r="D52" s="18">
        <v>3</v>
      </c>
      <c r="E52" s="18">
        <v>3</v>
      </c>
      <c r="F52" s="18">
        <v>10</v>
      </c>
      <c r="G52" s="18">
        <v>3</v>
      </c>
      <c r="H52" s="18">
        <v>8</v>
      </c>
      <c r="I52" s="18">
        <v>3</v>
      </c>
      <c r="J52" s="18">
        <v>12</v>
      </c>
      <c r="K52" s="18">
        <v>3</v>
      </c>
      <c r="L52" s="18">
        <v>0</v>
      </c>
      <c r="M52" s="18">
        <v>32</v>
      </c>
      <c r="N52" s="18">
        <v>2</v>
      </c>
      <c r="O52" s="18">
        <v>8</v>
      </c>
      <c r="P52" s="18">
        <v>2</v>
      </c>
      <c r="Q52" s="18">
        <v>3</v>
      </c>
      <c r="R52" s="18">
        <v>5</v>
      </c>
      <c r="S52" s="18">
        <v>0</v>
      </c>
      <c r="T52" s="18">
        <v>3</v>
      </c>
      <c r="U52" s="18">
        <v>0</v>
      </c>
      <c r="V52" s="19">
        <f t="shared" si="0"/>
        <v>100</v>
      </c>
    </row>
    <row r="53" spans="1:22" ht="15" customHeight="1">
      <c r="A53" s="6" t="s">
        <v>367</v>
      </c>
      <c r="B53" s="7" t="s">
        <v>368</v>
      </c>
      <c r="C53" s="7" t="s">
        <v>348</v>
      </c>
      <c r="D53" s="18">
        <v>3</v>
      </c>
      <c r="E53" s="18">
        <v>3</v>
      </c>
      <c r="F53" s="18">
        <v>12</v>
      </c>
      <c r="G53" s="18">
        <v>3</v>
      </c>
      <c r="H53" s="18">
        <v>10</v>
      </c>
      <c r="I53" s="18">
        <v>3</v>
      </c>
      <c r="J53" s="18">
        <v>12</v>
      </c>
      <c r="K53" s="18">
        <v>3</v>
      </c>
      <c r="L53" s="18">
        <v>0</v>
      </c>
      <c r="M53" s="18">
        <v>28</v>
      </c>
      <c r="N53" s="18">
        <v>2</v>
      </c>
      <c r="O53" s="18">
        <v>8</v>
      </c>
      <c r="P53" s="18">
        <v>2</v>
      </c>
      <c r="Q53" s="18">
        <v>3</v>
      </c>
      <c r="R53" s="18">
        <v>5</v>
      </c>
      <c r="S53" s="18">
        <v>0</v>
      </c>
      <c r="T53" s="18">
        <v>3</v>
      </c>
      <c r="U53" s="18">
        <v>0</v>
      </c>
      <c r="V53" s="19">
        <f t="shared" si="0"/>
        <v>100</v>
      </c>
    </row>
    <row r="54" spans="1:22" ht="15" customHeight="1">
      <c r="A54" s="6" t="s">
        <v>369</v>
      </c>
      <c r="B54" s="7" t="s">
        <v>370</v>
      </c>
      <c r="C54" s="7" t="s">
        <v>348</v>
      </c>
      <c r="D54" s="18">
        <v>3</v>
      </c>
      <c r="E54" s="18">
        <v>3</v>
      </c>
      <c r="F54" s="18">
        <v>10</v>
      </c>
      <c r="G54" s="18">
        <v>3</v>
      </c>
      <c r="H54" s="18">
        <v>10</v>
      </c>
      <c r="I54" s="18">
        <v>3</v>
      </c>
      <c r="J54" s="18">
        <v>12</v>
      </c>
      <c r="K54" s="18">
        <v>3</v>
      </c>
      <c r="L54" s="18">
        <v>0</v>
      </c>
      <c r="M54" s="18">
        <v>30</v>
      </c>
      <c r="N54" s="18">
        <v>2</v>
      </c>
      <c r="O54" s="18">
        <v>8</v>
      </c>
      <c r="P54" s="18">
        <v>2</v>
      </c>
      <c r="Q54" s="18">
        <v>3</v>
      </c>
      <c r="R54" s="18">
        <v>5</v>
      </c>
      <c r="S54" s="18">
        <v>0</v>
      </c>
      <c r="T54" s="18">
        <v>3</v>
      </c>
      <c r="U54" s="18">
        <v>0</v>
      </c>
      <c r="V54" s="19">
        <f t="shared" si="0"/>
        <v>100</v>
      </c>
    </row>
    <row r="55" spans="1:22" ht="15" customHeight="1">
      <c r="A55" s="6" t="s">
        <v>371</v>
      </c>
      <c r="B55" s="7" t="s">
        <v>372</v>
      </c>
      <c r="C55" s="7" t="s">
        <v>348</v>
      </c>
      <c r="D55" s="18">
        <v>3</v>
      </c>
      <c r="E55" s="18">
        <v>5</v>
      </c>
      <c r="F55" s="18">
        <v>8</v>
      </c>
      <c r="G55" s="18">
        <v>8</v>
      </c>
      <c r="H55" s="18">
        <v>8</v>
      </c>
      <c r="I55" s="18">
        <v>3</v>
      </c>
      <c r="J55" s="18">
        <v>10</v>
      </c>
      <c r="K55" s="18">
        <v>5</v>
      </c>
      <c r="L55" s="18">
        <v>0</v>
      </c>
      <c r="M55" s="18">
        <v>15</v>
      </c>
      <c r="N55" s="18">
        <v>1</v>
      </c>
      <c r="O55" s="18">
        <v>12</v>
      </c>
      <c r="P55" s="18">
        <v>5</v>
      </c>
      <c r="Q55" s="18">
        <v>3</v>
      </c>
      <c r="R55" s="18">
        <v>10</v>
      </c>
      <c r="S55" s="18">
        <v>0</v>
      </c>
      <c r="T55" s="18">
        <v>4</v>
      </c>
      <c r="U55" s="18">
        <v>0</v>
      </c>
      <c r="V55" s="19">
        <f t="shared" si="0"/>
        <v>100</v>
      </c>
    </row>
    <row r="56" spans="1:22" ht="15" customHeight="1">
      <c r="A56" s="6" t="s">
        <v>373</v>
      </c>
      <c r="B56" s="7" t="s">
        <v>374</v>
      </c>
      <c r="C56" s="7" t="s">
        <v>348</v>
      </c>
      <c r="D56" s="18">
        <v>3</v>
      </c>
      <c r="E56" s="18">
        <v>3</v>
      </c>
      <c r="F56" s="18">
        <v>10</v>
      </c>
      <c r="G56" s="18">
        <v>3</v>
      </c>
      <c r="H56" s="18">
        <v>10</v>
      </c>
      <c r="I56" s="18">
        <v>3</v>
      </c>
      <c r="J56" s="18">
        <v>12</v>
      </c>
      <c r="K56" s="18">
        <v>5</v>
      </c>
      <c r="L56" s="18">
        <v>0</v>
      </c>
      <c r="M56" s="18">
        <v>25</v>
      </c>
      <c r="N56" s="18">
        <v>2</v>
      </c>
      <c r="O56" s="18">
        <v>8</v>
      </c>
      <c r="P56" s="18">
        <v>3</v>
      </c>
      <c r="Q56" s="18">
        <v>3</v>
      </c>
      <c r="R56" s="18">
        <v>5</v>
      </c>
      <c r="S56" s="18">
        <v>0</v>
      </c>
      <c r="T56" s="18">
        <v>3</v>
      </c>
      <c r="U56" s="18">
        <v>2</v>
      </c>
      <c r="V56" s="19">
        <f t="shared" si="0"/>
        <v>100</v>
      </c>
    </row>
    <row r="57" spans="1:22" ht="15" customHeight="1">
      <c r="A57" s="6" t="s">
        <v>375</v>
      </c>
      <c r="B57" s="7" t="s">
        <v>376</v>
      </c>
      <c r="C57" s="7" t="s">
        <v>348</v>
      </c>
      <c r="D57" s="18">
        <v>3</v>
      </c>
      <c r="E57" s="18">
        <v>5</v>
      </c>
      <c r="F57" s="18">
        <v>5</v>
      </c>
      <c r="G57" s="18">
        <v>10</v>
      </c>
      <c r="H57" s="18">
        <v>5</v>
      </c>
      <c r="I57" s="18">
        <v>3</v>
      </c>
      <c r="J57" s="18">
        <v>10</v>
      </c>
      <c r="K57" s="18">
        <v>8</v>
      </c>
      <c r="L57" s="18">
        <v>0</v>
      </c>
      <c r="M57" s="18">
        <v>15</v>
      </c>
      <c r="N57" s="18">
        <v>1</v>
      </c>
      <c r="O57" s="18">
        <v>12</v>
      </c>
      <c r="P57" s="18">
        <v>5</v>
      </c>
      <c r="Q57" s="18">
        <v>3</v>
      </c>
      <c r="R57" s="18">
        <v>12</v>
      </c>
      <c r="S57" s="18">
        <v>0</v>
      </c>
      <c r="T57" s="18">
        <v>3</v>
      </c>
      <c r="U57" s="18">
        <v>0</v>
      </c>
      <c r="V57" s="19">
        <f t="shared" si="0"/>
        <v>100</v>
      </c>
    </row>
    <row r="58" spans="1:22" ht="15" customHeight="1">
      <c r="A58" s="6" t="s">
        <v>377</v>
      </c>
      <c r="B58" s="7" t="s">
        <v>378</v>
      </c>
      <c r="C58" s="7" t="s">
        <v>348</v>
      </c>
      <c r="D58" s="18">
        <v>3</v>
      </c>
      <c r="E58" s="18">
        <v>5</v>
      </c>
      <c r="F58" s="18">
        <v>5</v>
      </c>
      <c r="G58" s="18">
        <v>8</v>
      </c>
      <c r="H58" s="18">
        <v>5</v>
      </c>
      <c r="I58" s="18">
        <v>3</v>
      </c>
      <c r="J58" s="18">
        <v>8</v>
      </c>
      <c r="K58" s="18">
        <v>5</v>
      </c>
      <c r="L58" s="18">
        <v>0</v>
      </c>
      <c r="M58" s="18">
        <v>15</v>
      </c>
      <c r="N58" s="18">
        <v>1</v>
      </c>
      <c r="O58" s="18">
        <v>15</v>
      </c>
      <c r="P58" s="18">
        <v>5</v>
      </c>
      <c r="Q58" s="18">
        <v>5</v>
      </c>
      <c r="R58" s="18">
        <v>12</v>
      </c>
      <c r="S58" s="18">
        <v>0</v>
      </c>
      <c r="T58" s="18">
        <v>5</v>
      </c>
      <c r="U58" s="18">
        <v>0</v>
      </c>
      <c r="V58" s="19">
        <f t="shared" si="0"/>
        <v>100</v>
      </c>
    </row>
    <row r="59" spans="1:22" ht="15" customHeight="1">
      <c r="A59" s="6" t="s">
        <v>379</v>
      </c>
      <c r="B59" s="7" t="s">
        <v>380</v>
      </c>
      <c r="C59" s="7" t="s">
        <v>348</v>
      </c>
      <c r="D59" s="18">
        <v>3</v>
      </c>
      <c r="E59" s="18">
        <v>5</v>
      </c>
      <c r="F59" s="18">
        <v>10</v>
      </c>
      <c r="G59" s="18">
        <v>5</v>
      </c>
      <c r="H59" s="18">
        <v>5</v>
      </c>
      <c r="I59" s="18">
        <v>3</v>
      </c>
      <c r="J59" s="18">
        <v>15</v>
      </c>
      <c r="K59" s="18">
        <v>5</v>
      </c>
      <c r="L59" s="18">
        <v>0</v>
      </c>
      <c r="M59" s="18">
        <v>25</v>
      </c>
      <c r="N59" s="18">
        <v>2</v>
      </c>
      <c r="O59" s="18">
        <v>10</v>
      </c>
      <c r="P59" s="18">
        <v>2</v>
      </c>
      <c r="Q59" s="18">
        <v>3</v>
      </c>
      <c r="R59" s="18">
        <v>5</v>
      </c>
      <c r="S59" s="18">
        <v>0</v>
      </c>
      <c r="T59" s="18">
        <v>2</v>
      </c>
      <c r="U59" s="18">
        <v>0</v>
      </c>
      <c r="V59" s="19">
        <f t="shared" si="0"/>
        <v>100</v>
      </c>
    </row>
    <row r="60" spans="1:22" ht="15" customHeight="1">
      <c r="A60" s="6" t="s">
        <v>381</v>
      </c>
      <c r="B60" s="7" t="s">
        <v>382</v>
      </c>
      <c r="C60" s="7" t="s">
        <v>348</v>
      </c>
      <c r="D60" s="18">
        <v>2</v>
      </c>
      <c r="E60" s="18">
        <v>2</v>
      </c>
      <c r="F60" s="18">
        <v>8</v>
      </c>
      <c r="G60" s="18">
        <v>2</v>
      </c>
      <c r="H60" s="18">
        <v>3</v>
      </c>
      <c r="I60" s="18">
        <v>3</v>
      </c>
      <c r="J60" s="18">
        <v>5</v>
      </c>
      <c r="K60" s="18">
        <v>3</v>
      </c>
      <c r="L60" s="18">
        <v>0</v>
      </c>
      <c r="M60" s="18">
        <v>55</v>
      </c>
      <c r="N60" s="18">
        <v>2</v>
      </c>
      <c r="O60" s="18">
        <v>5</v>
      </c>
      <c r="P60" s="18">
        <v>1</v>
      </c>
      <c r="Q60" s="18">
        <v>3</v>
      </c>
      <c r="R60" s="18">
        <v>4</v>
      </c>
      <c r="S60" s="18">
        <v>0</v>
      </c>
      <c r="T60" s="18">
        <v>2</v>
      </c>
      <c r="U60" s="18">
        <v>0</v>
      </c>
      <c r="V60" s="19">
        <f t="shared" si="0"/>
        <v>100</v>
      </c>
    </row>
    <row r="61" spans="1:22" ht="15" customHeight="1">
      <c r="A61" s="6" t="s">
        <v>383</v>
      </c>
      <c r="B61" s="7" t="s">
        <v>384</v>
      </c>
      <c r="C61" s="7" t="s">
        <v>348</v>
      </c>
      <c r="D61" s="18">
        <v>3</v>
      </c>
      <c r="E61" s="18">
        <v>3</v>
      </c>
      <c r="F61" s="18">
        <v>12</v>
      </c>
      <c r="G61" s="18">
        <v>3</v>
      </c>
      <c r="H61" s="18">
        <v>3</v>
      </c>
      <c r="I61" s="18">
        <v>8</v>
      </c>
      <c r="J61" s="18">
        <v>10</v>
      </c>
      <c r="K61" s="18">
        <v>3</v>
      </c>
      <c r="L61" s="18">
        <v>0</v>
      </c>
      <c r="M61" s="18">
        <v>35</v>
      </c>
      <c r="N61" s="18">
        <v>0</v>
      </c>
      <c r="O61" s="18">
        <v>10</v>
      </c>
      <c r="P61" s="18">
        <v>2</v>
      </c>
      <c r="Q61" s="18">
        <v>3</v>
      </c>
      <c r="R61" s="18">
        <v>5</v>
      </c>
      <c r="S61" s="18">
        <v>0</v>
      </c>
      <c r="T61" s="18">
        <v>0</v>
      </c>
      <c r="U61" s="18">
        <v>0</v>
      </c>
      <c r="V61" s="19">
        <f t="shared" si="0"/>
        <v>100</v>
      </c>
    </row>
    <row r="62" spans="1:22" ht="15" customHeight="1">
      <c r="A62" s="6" t="s">
        <v>385</v>
      </c>
      <c r="B62" s="7" t="s">
        <v>386</v>
      </c>
      <c r="C62" s="7" t="s">
        <v>348</v>
      </c>
      <c r="D62" s="18">
        <v>3</v>
      </c>
      <c r="E62" s="18">
        <v>5</v>
      </c>
      <c r="F62" s="18">
        <v>8</v>
      </c>
      <c r="G62" s="18">
        <v>3</v>
      </c>
      <c r="H62" s="18">
        <v>5</v>
      </c>
      <c r="I62" s="18">
        <v>10</v>
      </c>
      <c r="J62" s="18">
        <v>8</v>
      </c>
      <c r="K62" s="18">
        <v>3</v>
      </c>
      <c r="L62" s="18">
        <v>0</v>
      </c>
      <c r="M62" s="18">
        <v>35</v>
      </c>
      <c r="N62" s="18">
        <v>0</v>
      </c>
      <c r="O62" s="18">
        <v>8</v>
      </c>
      <c r="P62" s="18">
        <v>2</v>
      </c>
      <c r="Q62" s="18">
        <v>3</v>
      </c>
      <c r="R62" s="18">
        <v>5</v>
      </c>
      <c r="S62" s="18">
        <v>0</v>
      </c>
      <c r="T62" s="18">
        <v>2</v>
      </c>
      <c r="U62" s="18">
        <v>0</v>
      </c>
      <c r="V62" s="19">
        <f t="shared" si="0"/>
        <v>100</v>
      </c>
    </row>
    <row r="63" spans="1:22" ht="15" customHeight="1">
      <c r="A63" s="6" t="s">
        <v>387</v>
      </c>
      <c r="B63" s="7" t="s">
        <v>388</v>
      </c>
      <c r="C63" s="7" t="s">
        <v>348</v>
      </c>
      <c r="D63" s="18">
        <v>3</v>
      </c>
      <c r="E63" s="18">
        <v>3</v>
      </c>
      <c r="F63" s="18">
        <v>8</v>
      </c>
      <c r="G63" s="18">
        <v>3</v>
      </c>
      <c r="H63" s="18">
        <v>3</v>
      </c>
      <c r="I63" s="18">
        <v>5</v>
      </c>
      <c r="J63" s="18">
        <v>5</v>
      </c>
      <c r="K63" s="18">
        <v>3</v>
      </c>
      <c r="L63" s="18">
        <v>0</v>
      </c>
      <c r="M63" s="18">
        <v>40</v>
      </c>
      <c r="N63" s="18">
        <v>0</v>
      </c>
      <c r="O63" s="18">
        <v>8</v>
      </c>
      <c r="P63" s="18">
        <v>2</v>
      </c>
      <c r="Q63" s="18">
        <v>3</v>
      </c>
      <c r="R63" s="18">
        <v>5</v>
      </c>
      <c r="S63" s="18">
        <v>0</v>
      </c>
      <c r="T63" s="18">
        <v>9</v>
      </c>
      <c r="U63" s="18">
        <v>0</v>
      </c>
      <c r="V63" s="19">
        <f t="shared" si="0"/>
        <v>100</v>
      </c>
    </row>
    <row r="64" spans="1:22" ht="15" customHeight="1">
      <c r="A64" s="6" t="s">
        <v>389</v>
      </c>
      <c r="B64" s="7" t="s">
        <v>390</v>
      </c>
      <c r="C64" s="7" t="s">
        <v>348</v>
      </c>
      <c r="D64" s="18">
        <v>3</v>
      </c>
      <c r="E64" s="18">
        <v>3</v>
      </c>
      <c r="F64" s="18">
        <v>8</v>
      </c>
      <c r="G64" s="18">
        <v>3</v>
      </c>
      <c r="H64" s="18">
        <v>5</v>
      </c>
      <c r="I64" s="18">
        <v>5</v>
      </c>
      <c r="J64" s="18">
        <v>8</v>
      </c>
      <c r="K64" s="18">
        <v>5</v>
      </c>
      <c r="L64" s="18">
        <v>0</v>
      </c>
      <c r="M64" s="18">
        <v>35</v>
      </c>
      <c r="N64" s="18">
        <v>2</v>
      </c>
      <c r="O64" s="18">
        <v>8</v>
      </c>
      <c r="P64" s="18">
        <v>2</v>
      </c>
      <c r="Q64" s="18">
        <v>5</v>
      </c>
      <c r="R64" s="18">
        <v>5</v>
      </c>
      <c r="S64" s="18">
        <v>0</v>
      </c>
      <c r="T64" s="18">
        <v>3</v>
      </c>
      <c r="U64" s="18">
        <v>0</v>
      </c>
      <c r="V64" s="19">
        <f t="shared" si="0"/>
        <v>100</v>
      </c>
    </row>
    <row r="65" spans="1:22" ht="15" customHeight="1">
      <c r="A65" s="6" t="s">
        <v>391</v>
      </c>
      <c r="B65" s="7" t="s">
        <v>392</v>
      </c>
      <c r="C65" s="7" t="s">
        <v>348</v>
      </c>
      <c r="D65" s="18">
        <v>2</v>
      </c>
      <c r="E65" s="18">
        <v>2</v>
      </c>
      <c r="F65" s="18">
        <v>8</v>
      </c>
      <c r="G65" s="18">
        <v>3</v>
      </c>
      <c r="H65" s="18">
        <v>2</v>
      </c>
      <c r="I65" s="18">
        <v>3</v>
      </c>
      <c r="J65" s="18">
        <v>5</v>
      </c>
      <c r="K65" s="18">
        <v>5</v>
      </c>
      <c r="L65" s="18">
        <v>0</v>
      </c>
      <c r="M65" s="18">
        <v>35</v>
      </c>
      <c r="N65" s="18">
        <v>20</v>
      </c>
      <c r="O65" s="18">
        <v>5</v>
      </c>
      <c r="P65" s="18">
        <v>2</v>
      </c>
      <c r="Q65" s="18">
        <v>3</v>
      </c>
      <c r="R65" s="18">
        <v>3</v>
      </c>
      <c r="S65" s="18">
        <v>0</v>
      </c>
      <c r="T65" s="18">
        <v>2</v>
      </c>
      <c r="U65" s="18">
        <v>0</v>
      </c>
      <c r="V65" s="19">
        <f t="shared" si="0"/>
        <v>100</v>
      </c>
    </row>
    <row r="66" spans="1:22" ht="15" customHeight="1">
      <c r="A66" s="6" t="s">
        <v>393</v>
      </c>
      <c r="B66" s="7" t="s">
        <v>394</v>
      </c>
      <c r="C66" s="7" t="s">
        <v>348</v>
      </c>
      <c r="D66" s="18">
        <v>2</v>
      </c>
      <c r="E66" s="18">
        <v>2</v>
      </c>
      <c r="F66" s="18">
        <v>5</v>
      </c>
      <c r="G66" s="18">
        <v>3</v>
      </c>
      <c r="H66" s="18">
        <v>2</v>
      </c>
      <c r="I66" s="18">
        <v>2</v>
      </c>
      <c r="J66" s="18">
        <v>5</v>
      </c>
      <c r="K66" s="18">
        <v>8</v>
      </c>
      <c r="L66" s="18">
        <v>0</v>
      </c>
      <c r="M66" s="18">
        <v>10</v>
      </c>
      <c r="N66" s="18">
        <v>40</v>
      </c>
      <c r="O66" s="18">
        <v>5</v>
      </c>
      <c r="P66" s="18">
        <v>3</v>
      </c>
      <c r="Q66" s="18">
        <v>3</v>
      </c>
      <c r="R66" s="18">
        <v>5</v>
      </c>
      <c r="S66" s="18">
        <v>0</v>
      </c>
      <c r="T66" s="18">
        <v>5</v>
      </c>
      <c r="U66" s="18">
        <v>0</v>
      </c>
      <c r="V66" s="19">
        <f t="shared" ref="V66:V129" si="1">SUM(D66:U66)</f>
        <v>100</v>
      </c>
    </row>
    <row r="67" spans="1:22" ht="15" customHeight="1">
      <c r="A67" s="6" t="s">
        <v>395</v>
      </c>
      <c r="B67" s="7" t="s">
        <v>396</v>
      </c>
      <c r="C67" s="7" t="s">
        <v>348</v>
      </c>
      <c r="D67" s="18">
        <v>3</v>
      </c>
      <c r="E67" s="18">
        <v>3</v>
      </c>
      <c r="F67" s="18">
        <v>15</v>
      </c>
      <c r="G67" s="18">
        <v>3</v>
      </c>
      <c r="H67" s="18">
        <v>5</v>
      </c>
      <c r="I67" s="18">
        <v>5</v>
      </c>
      <c r="J67" s="18">
        <v>15</v>
      </c>
      <c r="K67" s="18">
        <v>3</v>
      </c>
      <c r="L67" s="18">
        <v>0</v>
      </c>
      <c r="M67" s="18">
        <v>15</v>
      </c>
      <c r="N67" s="18">
        <v>0</v>
      </c>
      <c r="O67" s="18">
        <v>10</v>
      </c>
      <c r="P67" s="18">
        <v>5</v>
      </c>
      <c r="Q67" s="18">
        <v>5</v>
      </c>
      <c r="R67" s="18">
        <v>5</v>
      </c>
      <c r="S67" s="18">
        <v>0</v>
      </c>
      <c r="T67" s="18">
        <v>5</v>
      </c>
      <c r="U67" s="18">
        <v>3</v>
      </c>
      <c r="V67" s="19">
        <f t="shared" si="1"/>
        <v>100</v>
      </c>
    </row>
    <row r="68" spans="1:22" ht="15" customHeight="1">
      <c r="A68" s="6" t="s">
        <v>397</v>
      </c>
      <c r="B68" s="7" t="s">
        <v>398</v>
      </c>
      <c r="C68" s="7" t="s">
        <v>348</v>
      </c>
      <c r="D68" s="18">
        <v>3</v>
      </c>
      <c r="E68" s="18">
        <v>3</v>
      </c>
      <c r="F68" s="18">
        <v>15</v>
      </c>
      <c r="G68" s="18">
        <v>3</v>
      </c>
      <c r="H68" s="18">
        <v>8</v>
      </c>
      <c r="I68" s="18">
        <v>5</v>
      </c>
      <c r="J68" s="18">
        <v>18</v>
      </c>
      <c r="K68" s="18">
        <v>3</v>
      </c>
      <c r="L68" s="18">
        <v>0</v>
      </c>
      <c r="M68" s="18">
        <v>15</v>
      </c>
      <c r="N68" s="18">
        <v>0</v>
      </c>
      <c r="O68" s="18">
        <v>10</v>
      </c>
      <c r="P68" s="18">
        <v>5</v>
      </c>
      <c r="Q68" s="18">
        <v>3</v>
      </c>
      <c r="R68" s="18">
        <v>5</v>
      </c>
      <c r="S68" s="18">
        <v>0</v>
      </c>
      <c r="T68" s="18">
        <v>2</v>
      </c>
      <c r="U68" s="18">
        <v>2</v>
      </c>
      <c r="V68" s="19">
        <f t="shared" si="1"/>
        <v>100</v>
      </c>
    </row>
    <row r="69" spans="1:22" ht="15" customHeight="1">
      <c r="A69" s="6" t="s">
        <v>399</v>
      </c>
      <c r="B69" s="7" t="s">
        <v>400</v>
      </c>
      <c r="C69" s="7" t="s">
        <v>348</v>
      </c>
      <c r="D69" s="18">
        <v>3</v>
      </c>
      <c r="E69" s="18">
        <v>3</v>
      </c>
      <c r="F69" s="18">
        <v>15</v>
      </c>
      <c r="G69" s="18">
        <v>3</v>
      </c>
      <c r="H69" s="18">
        <v>25</v>
      </c>
      <c r="I69" s="18">
        <v>5</v>
      </c>
      <c r="J69" s="18">
        <v>15</v>
      </c>
      <c r="K69" s="18">
        <v>3</v>
      </c>
      <c r="L69" s="18">
        <v>0</v>
      </c>
      <c r="M69" s="18">
        <v>15</v>
      </c>
      <c r="N69" s="18">
        <v>0</v>
      </c>
      <c r="O69" s="18">
        <v>8</v>
      </c>
      <c r="P69" s="18">
        <v>2</v>
      </c>
      <c r="Q69" s="18">
        <v>1</v>
      </c>
      <c r="R69" s="18">
        <v>2</v>
      </c>
      <c r="S69" s="18">
        <v>0</v>
      </c>
      <c r="T69" s="18">
        <v>0</v>
      </c>
      <c r="U69" s="18">
        <v>0</v>
      </c>
      <c r="V69" s="19">
        <f t="shared" si="1"/>
        <v>100</v>
      </c>
    </row>
    <row r="70" spans="1:22" ht="15" customHeight="1">
      <c r="A70" s="6" t="s">
        <v>401</v>
      </c>
      <c r="B70" s="7" t="s">
        <v>402</v>
      </c>
      <c r="C70" s="7" t="s">
        <v>348</v>
      </c>
      <c r="D70" s="18">
        <v>3</v>
      </c>
      <c r="E70" s="18">
        <v>3</v>
      </c>
      <c r="F70" s="18">
        <v>25</v>
      </c>
      <c r="G70" s="18">
        <v>3</v>
      </c>
      <c r="H70" s="18">
        <v>8</v>
      </c>
      <c r="I70" s="18">
        <v>5</v>
      </c>
      <c r="J70" s="18">
        <v>20</v>
      </c>
      <c r="K70" s="18">
        <v>3</v>
      </c>
      <c r="L70" s="18">
        <v>1</v>
      </c>
      <c r="M70" s="18">
        <v>15</v>
      </c>
      <c r="N70" s="18">
        <v>0</v>
      </c>
      <c r="O70" s="18">
        <v>5</v>
      </c>
      <c r="P70" s="18">
        <v>1</v>
      </c>
      <c r="Q70" s="18">
        <v>3</v>
      </c>
      <c r="R70" s="18">
        <v>3</v>
      </c>
      <c r="S70" s="18">
        <v>0</v>
      </c>
      <c r="T70" s="18">
        <v>2</v>
      </c>
      <c r="U70" s="18">
        <v>0</v>
      </c>
      <c r="V70" s="19">
        <f t="shared" si="1"/>
        <v>100</v>
      </c>
    </row>
    <row r="71" spans="1:22" ht="15" customHeight="1">
      <c r="A71" s="6" t="s">
        <v>403</v>
      </c>
      <c r="B71" s="7" t="s">
        <v>404</v>
      </c>
      <c r="C71" s="7" t="s">
        <v>405</v>
      </c>
      <c r="D71" s="18">
        <v>5</v>
      </c>
      <c r="E71" s="18">
        <v>5</v>
      </c>
      <c r="F71" s="18">
        <v>8</v>
      </c>
      <c r="G71" s="18">
        <v>3</v>
      </c>
      <c r="H71" s="18">
        <v>2</v>
      </c>
      <c r="I71" s="18">
        <v>5</v>
      </c>
      <c r="J71" s="18">
        <v>5</v>
      </c>
      <c r="K71" s="18">
        <v>15</v>
      </c>
      <c r="L71" s="18">
        <v>0</v>
      </c>
      <c r="M71" s="18">
        <v>10</v>
      </c>
      <c r="N71" s="18">
        <v>0</v>
      </c>
      <c r="O71" s="18">
        <v>18</v>
      </c>
      <c r="P71" s="18">
        <v>2</v>
      </c>
      <c r="Q71" s="18">
        <v>3</v>
      </c>
      <c r="R71" s="18">
        <v>3</v>
      </c>
      <c r="S71" s="18">
        <v>15</v>
      </c>
      <c r="T71" s="18">
        <v>1</v>
      </c>
      <c r="U71" s="18">
        <v>0</v>
      </c>
      <c r="V71" s="19">
        <f t="shared" si="1"/>
        <v>100</v>
      </c>
    </row>
    <row r="72" spans="1:22" ht="15" customHeight="1">
      <c r="A72" s="6" t="s">
        <v>406</v>
      </c>
      <c r="B72" s="7" t="s">
        <v>407</v>
      </c>
      <c r="C72" s="7" t="s">
        <v>405</v>
      </c>
      <c r="D72" s="18">
        <v>3</v>
      </c>
      <c r="E72" s="18">
        <v>5</v>
      </c>
      <c r="F72" s="18">
        <v>10</v>
      </c>
      <c r="G72" s="18">
        <v>3</v>
      </c>
      <c r="H72" s="18">
        <v>3</v>
      </c>
      <c r="I72" s="18">
        <v>3</v>
      </c>
      <c r="J72" s="18">
        <v>8</v>
      </c>
      <c r="K72" s="18">
        <v>8</v>
      </c>
      <c r="L72" s="18">
        <v>0</v>
      </c>
      <c r="M72" s="18">
        <v>15</v>
      </c>
      <c r="N72" s="18">
        <v>0</v>
      </c>
      <c r="O72" s="18">
        <v>18</v>
      </c>
      <c r="P72" s="18">
        <v>2</v>
      </c>
      <c r="Q72" s="18">
        <v>5</v>
      </c>
      <c r="R72" s="18">
        <v>3</v>
      </c>
      <c r="S72" s="18">
        <v>12</v>
      </c>
      <c r="T72" s="18">
        <v>2</v>
      </c>
      <c r="U72" s="18">
        <v>0</v>
      </c>
      <c r="V72" s="19">
        <f t="shared" si="1"/>
        <v>100</v>
      </c>
    </row>
    <row r="73" spans="1:22" ht="15" customHeight="1">
      <c r="A73" s="6" t="s">
        <v>408</v>
      </c>
      <c r="B73" s="7" t="s">
        <v>409</v>
      </c>
      <c r="C73" s="7" t="s">
        <v>405</v>
      </c>
      <c r="D73" s="18">
        <v>3</v>
      </c>
      <c r="E73" s="18">
        <v>3</v>
      </c>
      <c r="F73" s="18">
        <v>5</v>
      </c>
      <c r="G73" s="18">
        <v>3</v>
      </c>
      <c r="H73" s="18">
        <v>2</v>
      </c>
      <c r="I73" s="18">
        <v>2</v>
      </c>
      <c r="J73" s="18">
        <v>3</v>
      </c>
      <c r="K73" s="18">
        <v>10</v>
      </c>
      <c r="L73" s="18">
        <v>0</v>
      </c>
      <c r="M73" s="18">
        <v>5</v>
      </c>
      <c r="N73" s="18">
        <v>0</v>
      </c>
      <c r="O73" s="18">
        <v>12</v>
      </c>
      <c r="P73" s="18">
        <v>3</v>
      </c>
      <c r="Q73" s="18">
        <v>3</v>
      </c>
      <c r="R73" s="18">
        <v>2</v>
      </c>
      <c r="S73" s="18">
        <v>20</v>
      </c>
      <c r="T73" s="18">
        <v>22</v>
      </c>
      <c r="U73" s="18">
        <v>2</v>
      </c>
      <c r="V73" s="19">
        <f t="shared" si="1"/>
        <v>100</v>
      </c>
    </row>
    <row r="74" spans="1:22" ht="15" customHeight="1">
      <c r="A74" s="6" t="s">
        <v>410</v>
      </c>
      <c r="B74" s="7" t="s">
        <v>411</v>
      </c>
      <c r="C74" s="7" t="s">
        <v>405</v>
      </c>
      <c r="D74" s="18">
        <v>5</v>
      </c>
      <c r="E74" s="18">
        <v>3</v>
      </c>
      <c r="F74" s="18">
        <v>5</v>
      </c>
      <c r="G74" s="18">
        <v>5</v>
      </c>
      <c r="H74" s="18">
        <v>2</v>
      </c>
      <c r="I74" s="18">
        <v>3</v>
      </c>
      <c r="J74" s="18">
        <v>5</v>
      </c>
      <c r="K74" s="18">
        <v>10</v>
      </c>
      <c r="L74" s="18">
        <v>0</v>
      </c>
      <c r="M74" s="18">
        <v>8</v>
      </c>
      <c r="N74" s="18">
        <v>0</v>
      </c>
      <c r="O74" s="18">
        <v>10</v>
      </c>
      <c r="P74" s="18">
        <v>2</v>
      </c>
      <c r="Q74" s="18">
        <v>5</v>
      </c>
      <c r="R74" s="18">
        <v>2</v>
      </c>
      <c r="S74" s="18">
        <v>25</v>
      </c>
      <c r="T74" s="18">
        <v>10</v>
      </c>
      <c r="U74" s="18">
        <v>0</v>
      </c>
      <c r="V74" s="19">
        <f t="shared" si="1"/>
        <v>100</v>
      </c>
    </row>
    <row r="75" spans="1:22" ht="15" customHeight="1">
      <c r="A75" s="6" t="s">
        <v>412</v>
      </c>
      <c r="B75" s="7" t="s">
        <v>413</v>
      </c>
      <c r="C75" s="7" t="s">
        <v>405</v>
      </c>
      <c r="D75" s="18">
        <v>5</v>
      </c>
      <c r="E75" s="18">
        <v>5</v>
      </c>
      <c r="F75" s="18">
        <v>5</v>
      </c>
      <c r="G75" s="18">
        <v>5</v>
      </c>
      <c r="H75" s="18">
        <v>2</v>
      </c>
      <c r="I75" s="18">
        <v>5</v>
      </c>
      <c r="J75" s="18">
        <v>8</v>
      </c>
      <c r="K75" s="18">
        <v>10</v>
      </c>
      <c r="L75" s="18">
        <v>0</v>
      </c>
      <c r="M75" s="18">
        <v>8</v>
      </c>
      <c r="N75" s="18">
        <v>0</v>
      </c>
      <c r="O75" s="18">
        <v>10</v>
      </c>
      <c r="P75" s="18">
        <v>2</v>
      </c>
      <c r="Q75" s="18">
        <v>5</v>
      </c>
      <c r="R75" s="18">
        <v>2</v>
      </c>
      <c r="S75" s="18">
        <v>25</v>
      </c>
      <c r="T75" s="18">
        <v>3</v>
      </c>
      <c r="U75" s="18">
        <v>0</v>
      </c>
      <c r="V75" s="19">
        <f t="shared" si="1"/>
        <v>100</v>
      </c>
    </row>
    <row r="76" spans="1:22" ht="15" customHeight="1">
      <c r="A76" s="6" t="s">
        <v>414</v>
      </c>
      <c r="B76" s="7" t="s">
        <v>415</v>
      </c>
      <c r="C76" s="7" t="s">
        <v>405</v>
      </c>
      <c r="D76" s="18">
        <v>5</v>
      </c>
      <c r="E76" s="18">
        <v>3</v>
      </c>
      <c r="F76" s="18">
        <v>5</v>
      </c>
      <c r="G76" s="18">
        <v>5</v>
      </c>
      <c r="H76" s="18">
        <v>2</v>
      </c>
      <c r="I76" s="18">
        <v>3</v>
      </c>
      <c r="J76" s="18">
        <v>8</v>
      </c>
      <c r="K76" s="18">
        <v>12</v>
      </c>
      <c r="L76" s="18">
        <v>0</v>
      </c>
      <c r="M76" s="18">
        <v>5</v>
      </c>
      <c r="N76" s="18">
        <v>0</v>
      </c>
      <c r="O76" s="18">
        <v>10</v>
      </c>
      <c r="P76" s="18">
        <v>2</v>
      </c>
      <c r="Q76" s="18">
        <v>8</v>
      </c>
      <c r="R76" s="18">
        <v>2</v>
      </c>
      <c r="S76" s="18">
        <v>25</v>
      </c>
      <c r="T76" s="18">
        <v>5</v>
      </c>
      <c r="U76" s="18">
        <v>0</v>
      </c>
      <c r="V76" s="19">
        <f t="shared" si="1"/>
        <v>100</v>
      </c>
    </row>
    <row r="77" spans="1:22" ht="15" customHeight="1">
      <c r="A77" s="6" t="s">
        <v>416</v>
      </c>
      <c r="B77" s="7" t="s">
        <v>417</v>
      </c>
      <c r="C77" s="7" t="s">
        <v>405</v>
      </c>
      <c r="D77" s="18">
        <v>5</v>
      </c>
      <c r="E77" s="18">
        <v>5</v>
      </c>
      <c r="F77" s="18">
        <v>5</v>
      </c>
      <c r="G77" s="18">
        <v>5</v>
      </c>
      <c r="H77" s="18">
        <v>2</v>
      </c>
      <c r="I77" s="18">
        <v>2</v>
      </c>
      <c r="J77" s="18">
        <v>8</v>
      </c>
      <c r="K77" s="18">
        <v>15</v>
      </c>
      <c r="L77" s="18">
        <v>0</v>
      </c>
      <c r="M77" s="18">
        <v>5</v>
      </c>
      <c r="N77" s="18">
        <v>0</v>
      </c>
      <c r="O77" s="18">
        <v>15</v>
      </c>
      <c r="P77" s="18">
        <v>2</v>
      </c>
      <c r="Q77" s="18">
        <v>5</v>
      </c>
      <c r="R77" s="18">
        <v>2</v>
      </c>
      <c r="S77" s="18">
        <v>22</v>
      </c>
      <c r="T77" s="18">
        <v>2</v>
      </c>
      <c r="U77" s="18">
        <v>0</v>
      </c>
      <c r="V77" s="19">
        <f t="shared" si="1"/>
        <v>100</v>
      </c>
    </row>
    <row r="78" spans="1:22" ht="15" customHeight="1">
      <c r="A78" s="6" t="s">
        <v>418</v>
      </c>
      <c r="B78" s="7" t="s">
        <v>419</v>
      </c>
      <c r="C78" s="7" t="s">
        <v>405</v>
      </c>
      <c r="D78" s="18">
        <v>3</v>
      </c>
      <c r="E78" s="18">
        <v>5</v>
      </c>
      <c r="F78" s="18">
        <v>10</v>
      </c>
      <c r="G78" s="18">
        <v>3</v>
      </c>
      <c r="H78" s="18">
        <v>5</v>
      </c>
      <c r="I78" s="18">
        <v>5</v>
      </c>
      <c r="J78" s="18">
        <v>15</v>
      </c>
      <c r="K78" s="18">
        <v>8</v>
      </c>
      <c r="L78" s="18">
        <v>0</v>
      </c>
      <c r="M78" s="18">
        <v>10</v>
      </c>
      <c r="N78" s="18">
        <v>0</v>
      </c>
      <c r="O78" s="18">
        <v>15</v>
      </c>
      <c r="P78" s="18">
        <v>2</v>
      </c>
      <c r="Q78" s="18">
        <v>5</v>
      </c>
      <c r="R78" s="18">
        <v>3</v>
      </c>
      <c r="S78" s="18">
        <v>10</v>
      </c>
      <c r="T78" s="18">
        <v>1</v>
      </c>
      <c r="U78" s="18">
        <v>0</v>
      </c>
      <c r="V78" s="19">
        <f t="shared" si="1"/>
        <v>100</v>
      </c>
    </row>
    <row r="79" spans="1:22" ht="15" customHeight="1">
      <c r="A79" s="6" t="s">
        <v>420</v>
      </c>
      <c r="B79" s="7" t="s">
        <v>421</v>
      </c>
      <c r="C79" s="7" t="s">
        <v>405</v>
      </c>
      <c r="D79" s="18">
        <v>3</v>
      </c>
      <c r="E79" s="18">
        <v>5</v>
      </c>
      <c r="F79" s="18">
        <v>12</v>
      </c>
      <c r="G79" s="18">
        <v>3</v>
      </c>
      <c r="H79" s="18">
        <v>5</v>
      </c>
      <c r="I79" s="18">
        <v>5</v>
      </c>
      <c r="J79" s="18">
        <v>15</v>
      </c>
      <c r="K79" s="18">
        <v>5</v>
      </c>
      <c r="L79" s="18">
        <v>0</v>
      </c>
      <c r="M79" s="18">
        <v>10</v>
      </c>
      <c r="N79" s="18">
        <v>0</v>
      </c>
      <c r="O79" s="18">
        <v>12</v>
      </c>
      <c r="P79" s="18">
        <v>2</v>
      </c>
      <c r="Q79" s="18">
        <v>8</v>
      </c>
      <c r="R79" s="18">
        <v>5</v>
      </c>
      <c r="S79" s="18">
        <v>8</v>
      </c>
      <c r="T79" s="18">
        <v>2</v>
      </c>
      <c r="U79" s="18">
        <v>0</v>
      </c>
      <c r="V79" s="19">
        <f t="shared" si="1"/>
        <v>100</v>
      </c>
    </row>
    <row r="80" spans="1:22" ht="15" customHeight="1">
      <c r="A80" s="6" t="s">
        <v>422</v>
      </c>
      <c r="B80" s="7" t="s">
        <v>423</v>
      </c>
      <c r="C80" s="7" t="s">
        <v>405</v>
      </c>
      <c r="D80" s="18">
        <v>5</v>
      </c>
      <c r="E80" s="18">
        <v>3</v>
      </c>
      <c r="F80" s="18">
        <v>5</v>
      </c>
      <c r="G80" s="18">
        <v>5</v>
      </c>
      <c r="H80" s="18">
        <v>2</v>
      </c>
      <c r="I80" s="18">
        <v>3</v>
      </c>
      <c r="J80" s="18">
        <v>5</v>
      </c>
      <c r="K80" s="18">
        <v>12</v>
      </c>
      <c r="L80" s="18">
        <v>0</v>
      </c>
      <c r="M80" s="18">
        <v>8</v>
      </c>
      <c r="N80" s="18">
        <v>0</v>
      </c>
      <c r="O80" s="18">
        <v>10</v>
      </c>
      <c r="P80" s="18">
        <v>2</v>
      </c>
      <c r="Q80" s="18">
        <v>5</v>
      </c>
      <c r="R80" s="18">
        <v>2</v>
      </c>
      <c r="S80" s="18">
        <v>25</v>
      </c>
      <c r="T80" s="18">
        <v>5</v>
      </c>
      <c r="U80" s="18">
        <v>3</v>
      </c>
      <c r="V80" s="19">
        <f t="shared" si="1"/>
        <v>100</v>
      </c>
    </row>
    <row r="81" spans="1:22" ht="15" customHeight="1">
      <c r="A81" s="6" t="s">
        <v>424</v>
      </c>
      <c r="B81" s="7" t="s">
        <v>425</v>
      </c>
      <c r="C81" s="7" t="s">
        <v>405</v>
      </c>
      <c r="D81" s="18">
        <v>5</v>
      </c>
      <c r="E81" s="18">
        <v>5</v>
      </c>
      <c r="F81" s="18">
        <v>5</v>
      </c>
      <c r="G81" s="18">
        <v>5</v>
      </c>
      <c r="H81" s="18">
        <v>2</v>
      </c>
      <c r="I81" s="18">
        <v>3</v>
      </c>
      <c r="J81" s="18">
        <v>5</v>
      </c>
      <c r="K81" s="18">
        <v>10</v>
      </c>
      <c r="L81" s="18">
        <v>0</v>
      </c>
      <c r="M81" s="18">
        <v>5</v>
      </c>
      <c r="N81" s="18">
        <v>0</v>
      </c>
      <c r="O81" s="18">
        <v>10</v>
      </c>
      <c r="P81" s="18">
        <v>1</v>
      </c>
      <c r="Q81" s="18">
        <v>5</v>
      </c>
      <c r="R81" s="18">
        <v>3</v>
      </c>
      <c r="S81" s="18">
        <v>30</v>
      </c>
      <c r="T81" s="18">
        <v>5</v>
      </c>
      <c r="U81" s="18">
        <v>1</v>
      </c>
      <c r="V81" s="19">
        <f t="shared" si="1"/>
        <v>100</v>
      </c>
    </row>
    <row r="82" spans="1:22" ht="15" customHeight="1">
      <c r="A82" s="6" t="s">
        <v>426</v>
      </c>
      <c r="B82" s="7" t="s">
        <v>427</v>
      </c>
      <c r="C82" s="7" t="s">
        <v>405</v>
      </c>
      <c r="D82" s="18">
        <v>8</v>
      </c>
      <c r="E82" s="18">
        <v>5</v>
      </c>
      <c r="F82" s="18">
        <v>5</v>
      </c>
      <c r="G82" s="18">
        <v>5</v>
      </c>
      <c r="H82" s="18">
        <v>2</v>
      </c>
      <c r="I82" s="18">
        <v>5</v>
      </c>
      <c r="J82" s="18">
        <v>5</v>
      </c>
      <c r="K82" s="18">
        <v>12</v>
      </c>
      <c r="L82" s="18">
        <v>0</v>
      </c>
      <c r="M82" s="18">
        <v>5</v>
      </c>
      <c r="N82" s="18">
        <v>0</v>
      </c>
      <c r="O82" s="18">
        <v>8</v>
      </c>
      <c r="P82" s="18">
        <v>1</v>
      </c>
      <c r="Q82" s="18">
        <v>5</v>
      </c>
      <c r="R82" s="18">
        <v>3</v>
      </c>
      <c r="S82" s="18">
        <v>25</v>
      </c>
      <c r="T82" s="18">
        <v>5</v>
      </c>
      <c r="U82" s="18">
        <v>1</v>
      </c>
      <c r="V82" s="19">
        <f t="shared" si="1"/>
        <v>100</v>
      </c>
    </row>
    <row r="83" spans="1:22" ht="15" customHeight="1">
      <c r="A83" s="6" t="s">
        <v>428</v>
      </c>
      <c r="B83" s="7" t="s">
        <v>429</v>
      </c>
      <c r="C83" s="7" t="s">
        <v>405</v>
      </c>
      <c r="D83" s="18">
        <v>5</v>
      </c>
      <c r="E83" s="18">
        <v>5</v>
      </c>
      <c r="F83" s="18">
        <v>5</v>
      </c>
      <c r="G83" s="18">
        <v>3</v>
      </c>
      <c r="H83" s="18">
        <v>2</v>
      </c>
      <c r="I83" s="18">
        <v>5</v>
      </c>
      <c r="J83" s="18">
        <v>5</v>
      </c>
      <c r="K83" s="18">
        <v>8</v>
      </c>
      <c r="L83" s="18">
        <v>0</v>
      </c>
      <c r="M83" s="18">
        <v>8</v>
      </c>
      <c r="N83" s="18">
        <v>0</v>
      </c>
      <c r="O83" s="18">
        <v>10</v>
      </c>
      <c r="P83" s="18">
        <v>1</v>
      </c>
      <c r="Q83" s="18">
        <v>5</v>
      </c>
      <c r="R83" s="18">
        <v>3</v>
      </c>
      <c r="S83" s="18">
        <v>30</v>
      </c>
      <c r="T83" s="18">
        <v>5</v>
      </c>
      <c r="U83" s="18">
        <v>0</v>
      </c>
      <c r="V83" s="19">
        <f t="shared" si="1"/>
        <v>100</v>
      </c>
    </row>
    <row r="84" spans="1:22" ht="15" customHeight="1">
      <c r="A84" s="6" t="s">
        <v>430</v>
      </c>
      <c r="B84" s="7" t="s">
        <v>431</v>
      </c>
      <c r="C84" s="7" t="s">
        <v>405</v>
      </c>
      <c r="D84" s="18">
        <v>5</v>
      </c>
      <c r="E84" s="18">
        <v>5</v>
      </c>
      <c r="F84" s="18">
        <v>5</v>
      </c>
      <c r="G84" s="18">
        <v>5</v>
      </c>
      <c r="H84" s="18">
        <v>2</v>
      </c>
      <c r="I84" s="18">
        <v>5</v>
      </c>
      <c r="J84" s="18">
        <v>5</v>
      </c>
      <c r="K84" s="18">
        <v>10</v>
      </c>
      <c r="L84" s="18">
        <v>0</v>
      </c>
      <c r="M84" s="18">
        <v>8</v>
      </c>
      <c r="N84" s="18">
        <v>0</v>
      </c>
      <c r="O84" s="18">
        <v>10</v>
      </c>
      <c r="P84" s="18">
        <v>1</v>
      </c>
      <c r="Q84" s="18">
        <v>5</v>
      </c>
      <c r="R84" s="18">
        <v>3</v>
      </c>
      <c r="S84" s="18">
        <v>25</v>
      </c>
      <c r="T84" s="18">
        <v>5</v>
      </c>
      <c r="U84" s="18">
        <v>1</v>
      </c>
      <c r="V84" s="19">
        <f t="shared" si="1"/>
        <v>100</v>
      </c>
    </row>
    <row r="85" spans="1:22" ht="15" customHeight="1">
      <c r="A85" s="6" t="s">
        <v>432</v>
      </c>
      <c r="B85" s="7" t="s">
        <v>433</v>
      </c>
      <c r="C85" s="7" t="s">
        <v>405</v>
      </c>
      <c r="D85" s="18">
        <v>8</v>
      </c>
      <c r="E85" s="18">
        <v>5</v>
      </c>
      <c r="F85" s="18">
        <v>5</v>
      </c>
      <c r="G85" s="18">
        <v>5</v>
      </c>
      <c r="H85" s="18">
        <v>2</v>
      </c>
      <c r="I85" s="18">
        <v>3</v>
      </c>
      <c r="J85" s="18">
        <v>5</v>
      </c>
      <c r="K85" s="18">
        <v>12</v>
      </c>
      <c r="L85" s="18">
        <v>0</v>
      </c>
      <c r="M85" s="18">
        <v>3</v>
      </c>
      <c r="N85" s="18">
        <v>0</v>
      </c>
      <c r="O85" s="18">
        <v>8</v>
      </c>
      <c r="P85" s="18">
        <v>1</v>
      </c>
      <c r="Q85" s="18">
        <v>5</v>
      </c>
      <c r="R85" s="18">
        <v>3</v>
      </c>
      <c r="S85" s="18">
        <v>30</v>
      </c>
      <c r="T85" s="18">
        <v>3</v>
      </c>
      <c r="U85" s="18">
        <v>2</v>
      </c>
      <c r="V85" s="19">
        <f t="shared" si="1"/>
        <v>100</v>
      </c>
    </row>
    <row r="86" spans="1:22" ht="15" customHeight="1">
      <c r="A86" s="6" t="s">
        <v>434</v>
      </c>
      <c r="B86" s="7" t="s">
        <v>435</v>
      </c>
      <c r="C86" s="7" t="s">
        <v>405</v>
      </c>
      <c r="D86" s="18">
        <v>5</v>
      </c>
      <c r="E86" s="18">
        <v>5</v>
      </c>
      <c r="F86" s="18">
        <v>5</v>
      </c>
      <c r="G86" s="18">
        <v>5</v>
      </c>
      <c r="H86" s="18">
        <v>2</v>
      </c>
      <c r="I86" s="18">
        <v>3</v>
      </c>
      <c r="J86" s="18">
        <v>5</v>
      </c>
      <c r="K86" s="18">
        <v>10</v>
      </c>
      <c r="L86" s="18">
        <v>0</v>
      </c>
      <c r="M86" s="18">
        <v>5</v>
      </c>
      <c r="N86" s="18">
        <v>0</v>
      </c>
      <c r="O86" s="18">
        <v>8</v>
      </c>
      <c r="P86" s="18">
        <v>1</v>
      </c>
      <c r="Q86" s="18">
        <v>5</v>
      </c>
      <c r="R86" s="18">
        <v>3</v>
      </c>
      <c r="S86" s="18">
        <v>30</v>
      </c>
      <c r="T86" s="18">
        <v>5</v>
      </c>
      <c r="U86" s="18">
        <v>3</v>
      </c>
      <c r="V86" s="19">
        <f t="shared" si="1"/>
        <v>100</v>
      </c>
    </row>
    <row r="87" spans="1:22" ht="15" customHeight="1">
      <c r="A87" s="6" t="s">
        <v>436</v>
      </c>
      <c r="B87" s="7" t="s">
        <v>437</v>
      </c>
      <c r="C87" s="7" t="s">
        <v>405</v>
      </c>
      <c r="D87" s="18">
        <v>5</v>
      </c>
      <c r="E87" s="18">
        <v>5</v>
      </c>
      <c r="F87" s="18">
        <v>5</v>
      </c>
      <c r="G87" s="18">
        <v>5</v>
      </c>
      <c r="H87" s="18">
        <v>2</v>
      </c>
      <c r="I87" s="18">
        <v>5</v>
      </c>
      <c r="J87" s="18">
        <v>5</v>
      </c>
      <c r="K87" s="18">
        <v>10</v>
      </c>
      <c r="L87" s="18">
        <v>0</v>
      </c>
      <c r="M87" s="18">
        <v>5</v>
      </c>
      <c r="N87" s="18">
        <v>0</v>
      </c>
      <c r="O87" s="18">
        <v>10</v>
      </c>
      <c r="P87" s="18">
        <v>1</v>
      </c>
      <c r="Q87" s="18">
        <v>5</v>
      </c>
      <c r="R87" s="18">
        <v>3</v>
      </c>
      <c r="S87" s="18">
        <v>25</v>
      </c>
      <c r="T87" s="18">
        <v>5</v>
      </c>
      <c r="U87" s="18">
        <v>4</v>
      </c>
      <c r="V87" s="19">
        <f t="shared" si="1"/>
        <v>100</v>
      </c>
    </row>
    <row r="88" spans="1:22" ht="15" customHeight="1">
      <c r="A88" s="6" t="s">
        <v>438</v>
      </c>
      <c r="B88" s="7" t="s">
        <v>439</v>
      </c>
      <c r="C88" s="7" t="s">
        <v>405</v>
      </c>
      <c r="D88" s="18">
        <v>3</v>
      </c>
      <c r="E88" s="18">
        <v>3</v>
      </c>
      <c r="F88" s="18">
        <v>5</v>
      </c>
      <c r="G88" s="18">
        <v>3</v>
      </c>
      <c r="H88" s="18">
        <v>2</v>
      </c>
      <c r="I88" s="18">
        <v>3</v>
      </c>
      <c r="J88" s="18">
        <v>5</v>
      </c>
      <c r="K88" s="18">
        <v>10</v>
      </c>
      <c r="L88" s="18">
        <v>0</v>
      </c>
      <c r="M88" s="18">
        <v>10</v>
      </c>
      <c r="N88" s="18">
        <v>0</v>
      </c>
      <c r="O88" s="18">
        <v>15</v>
      </c>
      <c r="P88" s="18">
        <v>3</v>
      </c>
      <c r="Q88" s="18">
        <v>3</v>
      </c>
      <c r="R88" s="18">
        <v>2</v>
      </c>
      <c r="S88" s="18">
        <v>15</v>
      </c>
      <c r="T88" s="18">
        <v>17</v>
      </c>
      <c r="U88" s="18">
        <v>1</v>
      </c>
      <c r="V88" s="19">
        <f t="shared" si="1"/>
        <v>100</v>
      </c>
    </row>
    <row r="89" spans="1:22" ht="15" customHeight="1">
      <c r="A89" s="6" t="s">
        <v>440</v>
      </c>
      <c r="B89" s="7" t="s">
        <v>441</v>
      </c>
      <c r="C89" s="7" t="s">
        <v>405</v>
      </c>
      <c r="D89" s="18">
        <v>5</v>
      </c>
      <c r="E89" s="18">
        <v>3</v>
      </c>
      <c r="F89" s="18">
        <v>8</v>
      </c>
      <c r="G89" s="18">
        <v>3</v>
      </c>
      <c r="H89" s="18">
        <v>2</v>
      </c>
      <c r="I89" s="18">
        <v>5</v>
      </c>
      <c r="J89" s="18">
        <v>5</v>
      </c>
      <c r="K89" s="18">
        <v>15</v>
      </c>
      <c r="L89" s="18">
        <v>0</v>
      </c>
      <c r="M89" s="18">
        <v>15</v>
      </c>
      <c r="N89" s="18">
        <v>0</v>
      </c>
      <c r="O89" s="18">
        <v>12</v>
      </c>
      <c r="P89" s="18">
        <v>2</v>
      </c>
      <c r="Q89" s="18">
        <v>3</v>
      </c>
      <c r="R89" s="18">
        <v>3</v>
      </c>
      <c r="S89" s="18">
        <v>12</v>
      </c>
      <c r="T89" s="18">
        <v>5</v>
      </c>
      <c r="U89" s="18">
        <v>2</v>
      </c>
      <c r="V89" s="19">
        <f t="shared" si="1"/>
        <v>100</v>
      </c>
    </row>
    <row r="90" spans="1:22" ht="15" customHeight="1">
      <c r="A90" s="6" t="s">
        <v>442</v>
      </c>
      <c r="B90" s="7" t="s">
        <v>443</v>
      </c>
      <c r="C90" s="7" t="s">
        <v>405</v>
      </c>
      <c r="D90" s="18">
        <v>5</v>
      </c>
      <c r="E90" s="18">
        <v>3</v>
      </c>
      <c r="F90" s="18">
        <v>5</v>
      </c>
      <c r="G90" s="18">
        <v>5</v>
      </c>
      <c r="H90" s="18">
        <v>2</v>
      </c>
      <c r="I90" s="18">
        <v>3</v>
      </c>
      <c r="J90" s="18">
        <v>3</v>
      </c>
      <c r="K90" s="18">
        <v>15</v>
      </c>
      <c r="L90" s="18">
        <v>0</v>
      </c>
      <c r="M90" s="18">
        <v>12</v>
      </c>
      <c r="N90" s="18">
        <v>0</v>
      </c>
      <c r="O90" s="18">
        <v>12</v>
      </c>
      <c r="P90" s="18">
        <v>5</v>
      </c>
      <c r="Q90" s="18">
        <v>2</v>
      </c>
      <c r="R90" s="18">
        <v>3</v>
      </c>
      <c r="S90" s="18">
        <v>18</v>
      </c>
      <c r="T90" s="18">
        <v>5</v>
      </c>
      <c r="U90" s="18">
        <v>2</v>
      </c>
      <c r="V90" s="19">
        <f t="shared" si="1"/>
        <v>100</v>
      </c>
    </row>
    <row r="91" spans="1:22" ht="15" customHeight="1">
      <c r="A91" s="6" t="s">
        <v>444</v>
      </c>
      <c r="B91" s="7" t="s">
        <v>445</v>
      </c>
      <c r="C91" s="7" t="s">
        <v>405</v>
      </c>
      <c r="D91" s="18">
        <v>5</v>
      </c>
      <c r="E91" s="18">
        <v>3</v>
      </c>
      <c r="F91" s="18">
        <v>3</v>
      </c>
      <c r="G91" s="18">
        <v>3</v>
      </c>
      <c r="H91" s="18">
        <v>2</v>
      </c>
      <c r="I91" s="18">
        <v>3</v>
      </c>
      <c r="J91" s="18">
        <v>3</v>
      </c>
      <c r="K91" s="18">
        <v>8</v>
      </c>
      <c r="L91" s="18">
        <v>0</v>
      </c>
      <c r="M91" s="18">
        <v>20</v>
      </c>
      <c r="N91" s="18">
        <v>0</v>
      </c>
      <c r="O91" s="18">
        <v>8</v>
      </c>
      <c r="P91" s="18">
        <v>1</v>
      </c>
      <c r="Q91" s="18">
        <v>3</v>
      </c>
      <c r="R91" s="18">
        <v>2</v>
      </c>
      <c r="S91" s="18">
        <v>25</v>
      </c>
      <c r="T91" s="18">
        <v>10</v>
      </c>
      <c r="U91" s="18">
        <v>1</v>
      </c>
      <c r="V91" s="19">
        <f t="shared" si="1"/>
        <v>100</v>
      </c>
    </row>
    <row r="92" spans="1:22" ht="15" customHeight="1">
      <c r="A92" s="6" t="s">
        <v>446</v>
      </c>
      <c r="B92" s="7" t="s">
        <v>447</v>
      </c>
      <c r="C92" s="7" t="s">
        <v>405</v>
      </c>
      <c r="D92" s="18">
        <v>5</v>
      </c>
      <c r="E92" s="18">
        <v>3</v>
      </c>
      <c r="F92" s="18">
        <v>3</v>
      </c>
      <c r="G92" s="18">
        <v>5</v>
      </c>
      <c r="H92" s="18">
        <v>2</v>
      </c>
      <c r="I92" s="18">
        <v>3</v>
      </c>
      <c r="J92" s="18">
        <v>3</v>
      </c>
      <c r="K92" s="18">
        <v>12</v>
      </c>
      <c r="L92" s="18">
        <v>0</v>
      </c>
      <c r="M92" s="18">
        <v>5</v>
      </c>
      <c r="N92" s="18">
        <v>0</v>
      </c>
      <c r="O92" s="18">
        <v>10</v>
      </c>
      <c r="P92" s="18">
        <v>3</v>
      </c>
      <c r="Q92" s="18">
        <v>3</v>
      </c>
      <c r="R92" s="18">
        <v>2</v>
      </c>
      <c r="S92" s="18">
        <v>25</v>
      </c>
      <c r="T92" s="18">
        <v>15</v>
      </c>
      <c r="U92" s="18">
        <v>1</v>
      </c>
      <c r="V92" s="19">
        <f t="shared" si="1"/>
        <v>100</v>
      </c>
    </row>
    <row r="93" spans="1:22" ht="15" customHeight="1">
      <c r="A93" s="6" t="s">
        <v>448</v>
      </c>
      <c r="B93" s="7" t="s">
        <v>449</v>
      </c>
      <c r="C93" s="7" t="s">
        <v>405</v>
      </c>
      <c r="D93" s="18">
        <v>5</v>
      </c>
      <c r="E93" s="18">
        <v>5</v>
      </c>
      <c r="F93" s="18">
        <v>10</v>
      </c>
      <c r="G93" s="18">
        <v>5</v>
      </c>
      <c r="H93" s="18">
        <v>5</v>
      </c>
      <c r="I93" s="18">
        <v>3</v>
      </c>
      <c r="J93" s="18">
        <v>15</v>
      </c>
      <c r="K93" s="18">
        <v>10</v>
      </c>
      <c r="L93" s="18">
        <v>0</v>
      </c>
      <c r="M93" s="18">
        <v>3</v>
      </c>
      <c r="N93" s="18">
        <v>3</v>
      </c>
      <c r="O93" s="18">
        <v>8</v>
      </c>
      <c r="P93" s="18">
        <v>5</v>
      </c>
      <c r="Q93" s="18">
        <v>10</v>
      </c>
      <c r="R93" s="18">
        <v>3</v>
      </c>
      <c r="S93" s="18">
        <v>5</v>
      </c>
      <c r="T93" s="18">
        <v>3</v>
      </c>
      <c r="U93" s="18">
        <v>2</v>
      </c>
      <c r="V93" s="19">
        <f t="shared" si="1"/>
        <v>100</v>
      </c>
    </row>
    <row r="94" spans="1:22" ht="15" customHeight="1">
      <c r="A94" s="6" t="s">
        <v>450</v>
      </c>
      <c r="B94" s="7" t="s">
        <v>451</v>
      </c>
      <c r="C94" s="7" t="s">
        <v>405</v>
      </c>
      <c r="D94" s="18">
        <v>5</v>
      </c>
      <c r="E94" s="18">
        <v>3</v>
      </c>
      <c r="F94" s="18">
        <v>10</v>
      </c>
      <c r="G94" s="18">
        <v>5</v>
      </c>
      <c r="H94" s="18">
        <v>5</v>
      </c>
      <c r="I94" s="18">
        <v>3</v>
      </c>
      <c r="J94" s="18">
        <v>10</v>
      </c>
      <c r="K94" s="18">
        <v>15</v>
      </c>
      <c r="L94" s="18">
        <v>0</v>
      </c>
      <c r="M94" s="18">
        <v>8</v>
      </c>
      <c r="N94" s="18">
        <v>0</v>
      </c>
      <c r="O94" s="18">
        <v>10</v>
      </c>
      <c r="P94" s="18">
        <v>2</v>
      </c>
      <c r="Q94" s="18">
        <v>10</v>
      </c>
      <c r="R94" s="18">
        <v>3</v>
      </c>
      <c r="S94" s="18">
        <v>8</v>
      </c>
      <c r="T94" s="18">
        <v>3</v>
      </c>
      <c r="U94" s="18">
        <v>0</v>
      </c>
      <c r="V94" s="19">
        <f t="shared" si="1"/>
        <v>100</v>
      </c>
    </row>
    <row r="95" spans="1:22" ht="15" customHeight="1">
      <c r="A95" s="6" t="s">
        <v>452</v>
      </c>
      <c r="B95" s="7" t="s">
        <v>453</v>
      </c>
      <c r="C95" s="7" t="s">
        <v>405</v>
      </c>
      <c r="D95" s="18">
        <v>5</v>
      </c>
      <c r="E95" s="18">
        <v>3</v>
      </c>
      <c r="F95" s="18">
        <v>2</v>
      </c>
      <c r="G95" s="18">
        <v>3</v>
      </c>
      <c r="H95" s="18">
        <v>1</v>
      </c>
      <c r="I95" s="18">
        <v>5</v>
      </c>
      <c r="J95" s="18">
        <v>2</v>
      </c>
      <c r="K95" s="18">
        <v>8</v>
      </c>
      <c r="L95" s="18">
        <v>0</v>
      </c>
      <c r="M95" s="18">
        <v>10</v>
      </c>
      <c r="N95" s="18">
        <v>0</v>
      </c>
      <c r="O95" s="18">
        <v>15</v>
      </c>
      <c r="P95" s="18">
        <v>1</v>
      </c>
      <c r="Q95" s="18">
        <v>3</v>
      </c>
      <c r="R95" s="18">
        <v>2</v>
      </c>
      <c r="S95" s="18">
        <v>25</v>
      </c>
      <c r="T95" s="18">
        <v>10</v>
      </c>
      <c r="U95" s="18">
        <v>5</v>
      </c>
      <c r="V95" s="19">
        <f t="shared" si="1"/>
        <v>100</v>
      </c>
    </row>
    <row r="96" spans="1:22" ht="15" customHeight="1">
      <c r="A96" s="6" t="s">
        <v>454</v>
      </c>
      <c r="B96" s="7" t="s">
        <v>455</v>
      </c>
      <c r="C96" s="7" t="s">
        <v>405</v>
      </c>
      <c r="D96" s="18">
        <v>5</v>
      </c>
      <c r="E96" s="18">
        <v>3</v>
      </c>
      <c r="F96" s="18">
        <v>5</v>
      </c>
      <c r="G96" s="18">
        <v>5</v>
      </c>
      <c r="H96" s="18">
        <v>2</v>
      </c>
      <c r="I96" s="18">
        <v>3</v>
      </c>
      <c r="J96" s="18">
        <v>5</v>
      </c>
      <c r="K96" s="18">
        <v>10</v>
      </c>
      <c r="L96" s="18">
        <v>0</v>
      </c>
      <c r="M96" s="18">
        <v>10</v>
      </c>
      <c r="N96" s="18">
        <v>0</v>
      </c>
      <c r="O96" s="18">
        <v>12</v>
      </c>
      <c r="P96" s="18">
        <v>2</v>
      </c>
      <c r="Q96" s="18">
        <v>5</v>
      </c>
      <c r="R96" s="18">
        <v>3</v>
      </c>
      <c r="S96" s="18">
        <v>20</v>
      </c>
      <c r="T96" s="18">
        <v>5</v>
      </c>
      <c r="U96" s="18">
        <v>5</v>
      </c>
      <c r="V96" s="19">
        <f t="shared" si="1"/>
        <v>100</v>
      </c>
    </row>
    <row r="97" spans="1:22" ht="15" customHeight="1">
      <c r="A97" s="6" t="s">
        <v>456</v>
      </c>
      <c r="B97" s="7" t="s">
        <v>457</v>
      </c>
      <c r="C97" s="7" t="s">
        <v>458</v>
      </c>
      <c r="D97" s="18">
        <v>3</v>
      </c>
      <c r="E97" s="18">
        <v>3</v>
      </c>
      <c r="F97" s="18">
        <v>20</v>
      </c>
      <c r="G97" s="18">
        <v>3</v>
      </c>
      <c r="H97" s="18">
        <v>3</v>
      </c>
      <c r="I97" s="18">
        <v>3</v>
      </c>
      <c r="J97" s="18">
        <v>18</v>
      </c>
      <c r="K97" s="18">
        <v>3</v>
      </c>
      <c r="L97" s="18">
        <v>1</v>
      </c>
      <c r="M97" s="18">
        <v>5</v>
      </c>
      <c r="N97" s="18">
        <v>0</v>
      </c>
      <c r="O97" s="18">
        <v>5</v>
      </c>
      <c r="P97" s="18">
        <v>1</v>
      </c>
      <c r="Q97" s="18">
        <v>25</v>
      </c>
      <c r="R97" s="18">
        <v>3</v>
      </c>
      <c r="S97" s="18">
        <v>0</v>
      </c>
      <c r="T97" s="18">
        <v>4</v>
      </c>
      <c r="U97" s="18">
        <v>0</v>
      </c>
      <c r="V97" s="19">
        <f t="shared" si="1"/>
        <v>100</v>
      </c>
    </row>
    <row r="98" spans="1:22" ht="15" customHeight="1">
      <c r="A98" s="6" t="s">
        <v>459</v>
      </c>
      <c r="B98" s="7" t="s">
        <v>460</v>
      </c>
      <c r="C98" s="7" t="s">
        <v>458</v>
      </c>
      <c r="D98" s="18">
        <v>3</v>
      </c>
      <c r="E98" s="18">
        <v>3</v>
      </c>
      <c r="F98" s="18">
        <v>10</v>
      </c>
      <c r="G98" s="18">
        <v>5</v>
      </c>
      <c r="H98" s="18">
        <v>3</v>
      </c>
      <c r="I98" s="18">
        <v>3</v>
      </c>
      <c r="J98" s="18">
        <v>12</v>
      </c>
      <c r="K98" s="18">
        <v>5</v>
      </c>
      <c r="L98" s="18">
        <v>1</v>
      </c>
      <c r="M98" s="18">
        <v>3</v>
      </c>
      <c r="N98" s="18">
        <v>2</v>
      </c>
      <c r="O98" s="18">
        <v>3</v>
      </c>
      <c r="P98" s="18">
        <v>1</v>
      </c>
      <c r="Q98" s="18">
        <v>35</v>
      </c>
      <c r="R98" s="18">
        <v>5</v>
      </c>
      <c r="S98" s="18">
        <v>0</v>
      </c>
      <c r="T98" s="18">
        <v>5</v>
      </c>
      <c r="U98" s="18">
        <v>1</v>
      </c>
      <c r="V98" s="19">
        <f t="shared" si="1"/>
        <v>100</v>
      </c>
    </row>
    <row r="99" spans="1:22" ht="15" customHeight="1">
      <c r="A99" s="6" t="s">
        <v>461</v>
      </c>
      <c r="B99" s="7" t="s">
        <v>462</v>
      </c>
      <c r="C99" s="7" t="s">
        <v>458</v>
      </c>
      <c r="D99" s="18">
        <v>3</v>
      </c>
      <c r="E99" s="18">
        <v>5</v>
      </c>
      <c r="F99" s="18">
        <v>8</v>
      </c>
      <c r="G99" s="18">
        <v>5</v>
      </c>
      <c r="H99" s="18">
        <v>3</v>
      </c>
      <c r="I99" s="18">
        <v>3</v>
      </c>
      <c r="J99" s="18">
        <v>10</v>
      </c>
      <c r="K99" s="18">
        <v>5</v>
      </c>
      <c r="L99" s="18">
        <v>0</v>
      </c>
      <c r="M99" s="18">
        <v>3</v>
      </c>
      <c r="N99" s="18">
        <v>1</v>
      </c>
      <c r="O99" s="18">
        <v>3</v>
      </c>
      <c r="P99" s="18">
        <v>1</v>
      </c>
      <c r="Q99" s="18">
        <v>40</v>
      </c>
      <c r="R99" s="18">
        <v>5</v>
      </c>
      <c r="S99" s="18">
        <v>0</v>
      </c>
      <c r="T99" s="18">
        <v>4</v>
      </c>
      <c r="U99" s="18">
        <v>1</v>
      </c>
      <c r="V99" s="19">
        <f t="shared" si="1"/>
        <v>100</v>
      </c>
    </row>
    <row r="100" spans="1:22" ht="15" customHeight="1">
      <c r="A100" s="6" t="s">
        <v>463</v>
      </c>
      <c r="B100" s="7" t="s">
        <v>464</v>
      </c>
      <c r="C100" s="7" t="s">
        <v>458</v>
      </c>
      <c r="D100" s="18">
        <v>3</v>
      </c>
      <c r="E100" s="18">
        <v>5</v>
      </c>
      <c r="F100" s="18">
        <v>5</v>
      </c>
      <c r="G100" s="18">
        <v>5</v>
      </c>
      <c r="H100" s="18">
        <v>3</v>
      </c>
      <c r="I100" s="18">
        <v>5</v>
      </c>
      <c r="J100" s="18">
        <v>8</v>
      </c>
      <c r="K100" s="18">
        <v>8</v>
      </c>
      <c r="L100" s="18">
        <v>0</v>
      </c>
      <c r="M100" s="18">
        <v>1</v>
      </c>
      <c r="N100" s="18">
        <v>2</v>
      </c>
      <c r="O100" s="18">
        <v>3</v>
      </c>
      <c r="P100" s="18">
        <v>1</v>
      </c>
      <c r="Q100" s="18">
        <v>40</v>
      </c>
      <c r="R100" s="18">
        <v>5</v>
      </c>
      <c r="S100" s="18">
        <v>0</v>
      </c>
      <c r="T100" s="18">
        <v>3</v>
      </c>
      <c r="U100" s="18">
        <v>3</v>
      </c>
      <c r="V100" s="19">
        <f t="shared" si="1"/>
        <v>100</v>
      </c>
    </row>
    <row r="101" spans="1:22" ht="15" customHeight="1">
      <c r="A101" s="6" t="s">
        <v>465</v>
      </c>
      <c r="B101" s="7" t="s">
        <v>466</v>
      </c>
      <c r="C101" s="7" t="s">
        <v>458</v>
      </c>
      <c r="D101" s="18">
        <v>3</v>
      </c>
      <c r="E101" s="18">
        <v>3</v>
      </c>
      <c r="F101" s="18">
        <v>3</v>
      </c>
      <c r="G101" s="18">
        <v>5</v>
      </c>
      <c r="H101" s="18">
        <v>2</v>
      </c>
      <c r="I101" s="18">
        <v>3</v>
      </c>
      <c r="J101" s="18">
        <v>5</v>
      </c>
      <c r="K101" s="18">
        <v>10</v>
      </c>
      <c r="L101" s="18">
        <v>0</v>
      </c>
      <c r="M101" s="18">
        <v>1</v>
      </c>
      <c r="N101" s="18">
        <v>2</v>
      </c>
      <c r="O101" s="18">
        <v>3</v>
      </c>
      <c r="P101" s="18">
        <v>1</v>
      </c>
      <c r="Q101" s="18">
        <v>35</v>
      </c>
      <c r="R101" s="18">
        <v>5</v>
      </c>
      <c r="S101" s="18">
        <v>12</v>
      </c>
      <c r="T101" s="18">
        <v>5</v>
      </c>
      <c r="U101" s="18">
        <v>2</v>
      </c>
      <c r="V101" s="19">
        <f t="shared" si="1"/>
        <v>100</v>
      </c>
    </row>
    <row r="102" spans="1:22" ht="15" customHeight="1">
      <c r="A102" s="6" t="s">
        <v>467</v>
      </c>
      <c r="B102" s="7" t="s">
        <v>468</v>
      </c>
      <c r="C102" s="7" t="s">
        <v>458</v>
      </c>
      <c r="D102" s="18">
        <v>3</v>
      </c>
      <c r="E102" s="18">
        <v>5</v>
      </c>
      <c r="F102" s="18">
        <v>8</v>
      </c>
      <c r="G102" s="18">
        <v>5</v>
      </c>
      <c r="H102" s="18">
        <v>2</v>
      </c>
      <c r="I102" s="18">
        <v>3</v>
      </c>
      <c r="J102" s="18">
        <v>8</v>
      </c>
      <c r="K102" s="18">
        <v>8</v>
      </c>
      <c r="L102" s="18">
        <v>0</v>
      </c>
      <c r="M102" s="18">
        <v>2</v>
      </c>
      <c r="N102" s="18">
        <v>1</v>
      </c>
      <c r="O102" s="18">
        <v>5</v>
      </c>
      <c r="P102" s="18">
        <v>1</v>
      </c>
      <c r="Q102" s="18">
        <v>35</v>
      </c>
      <c r="R102" s="18">
        <v>5</v>
      </c>
      <c r="S102" s="18">
        <v>5</v>
      </c>
      <c r="T102" s="18">
        <v>3</v>
      </c>
      <c r="U102" s="18">
        <v>1</v>
      </c>
      <c r="V102" s="19">
        <f t="shared" si="1"/>
        <v>100</v>
      </c>
    </row>
    <row r="103" spans="1:22" ht="15" customHeight="1">
      <c r="A103" s="6" t="s">
        <v>469</v>
      </c>
      <c r="B103" s="7" t="s">
        <v>470</v>
      </c>
      <c r="C103" s="7" t="s">
        <v>458</v>
      </c>
      <c r="D103" s="18">
        <v>3</v>
      </c>
      <c r="E103" s="18">
        <v>5</v>
      </c>
      <c r="F103" s="18">
        <v>5</v>
      </c>
      <c r="G103" s="18">
        <v>5</v>
      </c>
      <c r="H103" s="18">
        <v>2</v>
      </c>
      <c r="I103" s="18">
        <v>2</v>
      </c>
      <c r="J103" s="18">
        <v>8</v>
      </c>
      <c r="K103" s="18">
        <v>10</v>
      </c>
      <c r="L103" s="18">
        <v>10</v>
      </c>
      <c r="M103" s="18">
        <v>2</v>
      </c>
      <c r="N103" s="18">
        <v>2</v>
      </c>
      <c r="O103" s="18">
        <v>3</v>
      </c>
      <c r="P103" s="18">
        <v>1</v>
      </c>
      <c r="Q103" s="18">
        <v>38</v>
      </c>
      <c r="R103" s="18">
        <v>3</v>
      </c>
      <c r="S103" s="18">
        <v>0</v>
      </c>
      <c r="T103" s="18">
        <v>1</v>
      </c>
      <c r="U103" s="18">
        <v>0</v>
      </c>
      <c r="V103" s="19">
        <f t="shared" si="1"/>
        <v>100</v>
      </c>
    </row>
    <row r="104" spans="1:22" ht="15" customHeight="1">
      <c r="A104" s="6" t="s">
        <v>471</v>
      </c>
      <c r="B104" s="7" t="s">
        <v>472</v>
      </c>
      <c r="C104" s="7" t="s">
        <v>458</v>
      </c>
      <c r="D104" s="18">
        <v>3</v>
      </c>
      <c r="E104" s="18">
        <v>5</v>
      </c>
      <c r="F104" s="18">
        <v>8</v>
      </c>
      <c r="G104" s="18">
        <v>5</v>
      </c>
      <c r="H104" s="18">
        <v>3</v>
      </c>
      <c r="I104" s="18">
        <v>3</v>
      </c>
      <c r="J104" s="18">
        <v>10</v>
      </c>
      <c r="K104" s="18">
        <v>5</v>
      </c>
      <c r="L104" s="18">
        <v>1</v>
      </c>
      <c r="M104" s="18">
        <v>3</v>
      </c>
      <c r="N104" s="18">
        <v>2</v>
      </c>
      <c r="O104" s="18">
        <v>3</v>
      </c>
      <c r="P104" s="18">
        <v>2</v>
      </c>
      <c r="Q104" s="18">
        <v>35</v>
      </c>
      <c r="R104" s="18">
        <v>5</v>
      </c>
      <c r="S104" s="18">
        <v>0</v>
      </c>
      <c r="T104" s="18">
        <v>5</v>
      </c>
      <c r="U104" s="18">
        <v>2</v>
      </c>
      <c r="V104" s="19">
        <f t="shared" si="1"/>
        <v>100</v>
      </c>
    </row>
    <row r="105" spans="1:22" ht="15" customHeight="1">
      <c r="A105" s="6" t="s">
        <v>473</v>
      </c>
      <c r="B105" s="7" t="s">
        <v>474</v>
      </c>
      <c r="C105" s="7" t="s">
        <v>458</v>
      </c>
      <c r="D105" s="18">
        <v>2</v>
      </c>
      <c r="E105" s="18">
        <v>5</v>
      </c>
      <c r="F105" s="18">
        <v>5</v>
      </c>
      <c r="G105" s="18">
        <v>8</v>
      </c>
      <c r="H105" s="18">
        <v>5</v>
      </c>
      <c r="I105" s="18">
        <v>2</v>
      </c>
      <c r="J105" s="18">
        <v>10</v>
      </c>
      <c r="K105" s="18">
        <v>5</v>
      </c>
      <c r="L105" s="18">
        <v>0</v>
      </c>
      <c r="M105" s="18">
        <v>2</v>
      </c>
      <c r="N105" s="18">
        <v>0</v>
      </c>
      <c r="O105" s="18">
        <v>15</v>
      </c>
      <c r="P105" s="18">
        <v>5</v>
      </c>
      <c r="Q105" s="18">
        <v>5</v>
      </c>
      <c r="R105" s="18">
        <v>25</v>
      </c>
      <c r="S105" s="18">
        <v>0</v>
      </c>
      <c r="T105" s="18">
        <v>3</v>
      </c>
      <c r="U105" s="18">
        <v>3</v>
      </c>
      <c r="V105" s="19">
        <f t="shared" si="1"/>
        <v>100</v>
      </c>
    </row>
    <row r="106" spans="1:22" ht="15" customHeight="1">
      <c r="A106" s="6" t="s">
        <v>475</v>
      </c>
      <c r="B106" s="7" t="s">
        <v>476</v>
      </c>
      <c r="C106" s="7" t="s">
        <v>458</v>
      </c>
      <c r="D106" s="18">
        <v>3</v>
      </c>
      <c r="E106" s="18">
        <v>5</v>
      </c>
      <c r="F106" s="18">
        <v>5</v>
      </c>
      <c r="G106" s="18">
        <v>8</v>
      </c>
      <c r="H106" s="18">
        <v>5</v>
      </c>
      <c r="I106" s="18">
        <v>3</v>
      </c>
      <c r="J106" s="18">
        <v>8</v>
      </c>
      <c r="K106" s="18">
        <v>5</v>
      </c>
      <c r="L106" s="18">
        <v>0</v>
      </c>
      <c r="M106" s="18">
        <v>2</v>
      </c>
      <c r="N106" s="18">
        <v>0</v>
      </c>
      <c r="O106" s="18">
        <v>12</v>
      </c>
      <c r="P106" s="18">
        <v>5</v>
      </c>
      <c r="Q106" s="18">
        <v>5</v>
      </c>
      <c r="R106" s="18">
        <v>25</v>
      </c>
      <c r="S106" s="18">
        <v>0</v>
      </c>
      <c r="T106" s="18">
        <v>5</v>
      </c>
      <c r="U106" s="18">
        <v>4</v>
      </c>
      <c r="V106" s="19">
        <f t="shared" si="1"/>
        <v>100</v>
      </c>
    </row>
    <row r="107" spans="1:22" ht="15" customHeight="1">
      <c r="A107" s="6" t="s">
        <v>477</v>
      </c>
      <c r="B107" s="7" t="s">
        <v>478</v>
      </c>
      <c r="C107" s="7" t="s">
        <v>458</v>
      </c>
      <c r="D107" s="18">
        <v>3</v>
      </c>
      <c r="E107" s="18">
        <v>5</v>
      </c>
      <c r="F107" s="18">
        <v>8</v>
      </c>
      <c r="G107" s="18">
        <v>5</v>
      </c>
      <c r="H107" s="18">
        <v>5</v>
      </c>
      <c r="I107" s="18">
        <v>3</v>
      </c>
      <c r="J107" s="18">
        <v>10</v>
      </c>
      <c r="K107" s="18">
        <v>5</v>
      </c>
      <c r="L107" s="18">
        <v>0</v>
      </c>
      <c r="M107" s="18">
        <v>3</v>
      </c>
      <c r="N107" s="18">
        <v>1</v>
      </c>
      <c r="O107" s="18">
        <v>8</v>
      </c>
      <c r="P107" s="18">
        <v>3</v>
      </c>
      <c r="Q107" s="18">
        <v>25</v>
      </c>
      <c r="R107" s="18">
        <v>8</v>
      </c>
      <c r="S107" s="18">
        <v>0</v>
      </c>
      <c r="T107" s="18">
        <v>5</v>
      </c>
      <c r="U107" s="18">
        <v>3</v>
      </c>
      <c r="V107" s="19">
        <f t="shared" si="1"/>
        <v>100</v>
      </c>
    </row>
    <row r="108" spans="1:22" ht="15" customHeight="1">
      <c r="A108" s="6" t="s">
        <v>479</v>
      </c>
      <c r="B108" s="7" t="s">
        <v>480</v>
      </c>
      <c r="C108" s="7" t="s">
        <v>481</v>
      </c>
      <c r="D108" s="18">
        <v>2</v>
      </c>
      <c r="E108" s="18">
        <v>3</v>
      </c>
      <c r="F108" s="18">
        <v>20</v>
      </c>
      <c r="G108" s="18">
        <v>3</v>
      </c>
      <c r="H108" s="18">
        <v>1</v>
      </c>
      <c r="I108" s="18">
        <v>3</v>
      </c>
      <c r="J108" s="18">
        <v>25</v>
      </c>
      <c r="K108" s="18">
        <v>5</v>
      </c>
      <c r="L108" s="18">
        <v>0</v>
      </c>
      <c r="M108" s="18">
        <v>3</v>
      </c>
      <c r="N108" s="18">
        <v>0</v>
      </c>
      <c r="O108" s="18">
        <v>20</v>
      </c>
      <c r="P108" s="18">
        <v>8</v>
      </c>
      <c r="Q108" s="18">
        <v>2</v>
      </c>
      <c r="R108" s="18">
        <v>3</v>
      </c>
      <c r="S108" s="18">
        <v>0</v>
      </c>
      <c r="T108" s="18">
        <v>2</v>
      </c>
      <c r="U108" s="18">
        <v>0</v>
      </c>
      <c r="V108" s="19">
        <f t="shared" si="1"/>
        <v>100</v>
      </c>
    </row>
    <row r="109" spans="1:22" ht="15" customHeight="1">
      <c r="A109" s="6" t="s">
        <v>482</v>
      </c>
      <c r="B109" s="7" t="s">
        <v>483</v>
      </c>
      <c r="C109" s="7" t="s">
        <v>481</v>
      </c>
      <c r="D109" s="18">
        <v>3</v>
      </c>
      <c r="E109" s="18">
        <v>5</v>
      </c>
      <c r="F109" s="18">
        <v>18</v>
      </c>
      <c r="G109" s="18">
        <v>3</v>
      </c>
      <c r="H109" s="18">
        <v>2</v>
      </c>
      <c r="I109" s="18">
        <v>3</v>
      </c>
      <c r="J109" s="18">
        <v>25</v>
      </c>
      <c r="K109" s="18">
        <v>8</v>
      </c>
      <c r="L109" s="18">
        <v>0</v>
      </c>
      <c r="M109" s="18">
        <v>3</v>
      </c>
      <c r="N109" s="18">
        <v>0</v>
      </c>
      <c r="O109" s="18">
        <v>12</v>
      </c>
      <c r="P109" s="18">
        <v>10</v>
      </c>
      <c r="Q109" s="18">
        <v>2</v>
      </c>
      <c r="R109" s="18">
        <v>3</v>
      </c>
      <c r="S109" s="18">
        <v>0</v>
      </c>
      <c r="T109" s="18">
        <v>3</v>
      </c>
      <c r="U109" s="18">
        <v>0</v>
      </c>
      <c r="V109" s="19">
        <f t="shared" si="1"/>
        <v>100</v>
      </c>
    </row>
    <row r="110" spans="1:22" ht="15" customHeight="1">
      <c r="A110" s="6" t="s">
        <v>484</v>
      </c>
      <c r="B110" s="7" t="s">
        <v>485</v>
      </c>
      <c r="C110" s="7" t="s">
        <v>481</v>
      </c>
      <c r="D110" s="18">
        <v>3</v>
      </c>
      <c r="E110" s="18">
        <v>5</v>
      </c>
      <c r="F110" s="18">
        <v>18</v>
      </c>
      <c r="G110" s="18">
        <v>3</v>
      </c>
      <c r="H110" s="18">
        <v>2</v>
      </c>
      <c r="I110" s="18">
        <v>3</v>
      </c>
      <c r="J110" s="18">
        <v>22</v>
      </c>
      <c r="K110" s="18">
        <v>8</v>
      </c>
      <c r="L110" s="18">
        <v>0</v>
      </c>
      <c r="M110" s="18">
        <v>5</v>
      </c>
      <c r="N110" s="18">
        <v>0</v>
      </c>
      <c r="O110" s="18">
        <v>12</v>
      </c>
      <c r="P110" s="18">
        <v>8</v>
      </c>
      <c r="Q110" s="18">
        <v>3</v>
      </c>
      <c r="R110" s="18">
        <v>3</v>
      </c>
      <c r="S110" s="18">
        <v>0</v>
      </c>
      <c r="T110" s="18">
        <v>3</v>
      </c>
      <c r="U110" s="18">
        <v>2</v>
      </c>
      <c r="V110" s="19">
        <f t="shared" si="1"/>
        <v>100</v>
      </c>
    </row>
    <row r="111" spans="1:22" ht="15" customHeight="1">
      <c r="A111" s="6" t="s">
        <v>486</v>
      </c>
      <c r="B111" s="7" t="s">
        <v>487</v>
      </c>
      <c r="C111" s="7" t="s">
        <v>481</v>
      </c>
      <c r="D111" s="18">
        <v>5</v>
      </c>
      <c r="E111" s="18">
        <v>3</v>
      </c>
      <c r="F111" s="18">
        <v>8</v>
      </c>
      <c r="G111" s="18">
        <v>3</v>
      </c>
      <c r="H111" s="18">
        <v>25</v>
      </c>
      <c r="I111" s="18">
        <v>5</v>
      </c>
      <c r="J111" s="18">
        <v>10</v>
      </c>
      <c r="K111" s="18">
        <v>5</v>
      </c>
      <c r="L111" s="18">
        <v>0</v>
      </c>
      <c r="M111" s="18">
        <v>8</v>
      </c>
      <c r="N111" s="18">
        <v>0</v>
      </c>
      <c r="O111" s="18">
        <v>10</v>
      </c>
      <c r="P111" s="18">
        <v>5</v>
      </c>
      <c r="Q111" s="18">
        <v>2</v>
      </c>
      <c r="R111" s="18">
        <v>5</v>
      </c>
      <c r="S111" s="18">
        <v>0</v>
      </c>
      <c r="T111" s="18">
        <v>3</v>
      </c>
      <c r="U111" s="18">
        <v>3</v>
      </c>
      <c r="V111" s="19">
        <f t="shared" si="1"/>
        <v>100</v>
      </c>
    </row>
    <row r="112" spans="1:22" ht="15" customHeight="1">
      <c r="A112" s="6" t="s">
        <v>488</v>
      </c>
      <c r="B112" s="7" t="s">
        <v>489</v>
      </c>
      <c r="C112" s="7" t="s">
        <v>481</v>
      </c>
      <c r="D112" s="18">
        <v>3</v>
      </c>
      <c r="E112" s="18">
        <v>3</v>
      </c>
      <c r="F112" s="18">
        <v>15</v>
      </c>
      <c r="G112" s="18">
        <v>3</v>
      </c>
      <c r="H112" s="18">
        <v>20</v>
      </c>
      <c r="I112" s="18">
        <v>3</v>
      </c>
      <c r="J112" s="18">
        <v>12</v>
      </c>
      <c r="K112" s="18">
        <v>8</v>
      </c>
      <c r="L112" s="18">
        <v>0</v>
      </c>
      <c r="M112" s="18">
        <v>10</v>
      </c>
      <c r="N112" s="18">
        <v>0</v>
      </c>
      <c r="O112" s="18">
        <v>10</v>
      </c>
      <c r="P112" s="18">
        <v>5</v>
      </c>
      <c r="Q112" s="18">
        <v>2</v>
      </c>
      <c r="R112" s="18">
        <v>3</v>
      </c>
      <c r="S112" s="18">
        <v>0</v>
      </c>
      <c r="T112" s="18">
        <v>3</v>
      </c>
      <c r="U112" s="18">
        <v>0</v>
      </c>
      <c r="V112" s="19">
        <f t="shared" si="1"/>
        <v>100</v>
      </c>
    </row>
    <row r="113" spans="1:22" ht="15" customHeight="1">
      <c r="A113" s="6" t="s">
        <v>490</v>
      </c>
      <c r="B113" s="7" t="s">
        <v>491</v>
      </c>
      <c r="C113" s="7" t="s">
        <v>481</v>
      </c>
      <c r="D113" s="18">
        <v>5</v>
      </c>
      <c r="E113" s="18">
        <v>3</v>
      </c>
      <c r="F113" s="18">
        <v>12</v>
      </c>
      <c r="G113" s="18">
        <v>3</v>
      </c>
      <c r="H113" s="18">
        <v>20</v>
      </c>
      <c r="I113" s="18">
        <v>5</v>
      </c>
      <c r="J113" s="18">
        <v>15</v>
      </c>
      <c r="K113" s="18">
        <v>5</v>
      </c>
      <c r="L113" s="18">
        <v>0</v>
      </c>
      <c r="M113" s="18">
        <v>10</v>
      </c>
      <c r="N113" s="18">
        <v>0</v>
      </c>
      <c r="O113" s="18">
        <v>8</v>
      </c>
      <c r="P113" s="18">
        <v>5</v>
      </c>
      <c r="Q113" s="18">
        <v>2</v>
      </c>
      <c r="R113" s="18">
        <v>3</v>
      </c>
      <c r="S113" s="18">
        <v>0</v>
      </c>
      <c r="T113" s="18">
        <v>2</v>
      </c>
      <c r="U113" s="18">
        <v>2</v>
      </c>
      <c r="V113" s="19">
        <f t="shared" si="1"/>
        <v>100</v>
      </c>
    </row>
    <row r="114" spans="1:22" ht="15" customHeight="1">
      <c r="A114" s="6" t="s">
        <v>492</v>
      </c>
      <c r="B114" s="7" t="s">
        <v>493</v>
      </c>
      <c r="C114" s="7" t="s">
        <v>481</v>
      </c>
      <c r="D114" s="18">
        <v>3</v>
      </c>
      <c r="E114" s="18">
        <v>3</v>
      </c>
      <c r="F114" s="18">
        <v>15</v>
      </c>
      <c r="G114" s="18">
        <v>5</v>
      </c>
      <c r="H114" s="18">
        <v>8</v>
      </c>
      <c r="I114" s="18">
        <v>3</v>
      </c>
      <c r="J114" s="18">
        <v>18</v>
      </c>
      <c r="K114" s="18">
        <v>5</v>
      </c>
      <c r="L114" s="18">
        <v>0</v>
      </c>
      <c r="M114" s="18">
        <v>8</v>
      </c>
      <c r="N114" s="18">
        <v>2</v>
      </c>
      <c r="O114" s="18">
        <v>12</v>
      </c>
      <c r="P114" s="18">
        <v>8</v>
      </c>
      <c r="Q114" s="18">
        <v>3</v>
      </c>
      <c r="R114" s="18">
        <v>5</v>
      </c>
      <c r="S114" s="18">
        <v>0</v>
      </c>
      <c r="T114" s="18">
        <v>2</v>
      </c>
      <c r="U114" s="18">
        <v>0</v>
      </c>
      <c r="V114" s="19">
        <f t="shared" si="1"/>
        <v>100</v>
      </c>
    </row>
    <row r="115" spans="1:22" ht="15" customHeight="1">
      <c r="A115" s="6" t="s">
        <v>494</v>
      </c>
      <c r="B115" s="7" t="s">
        <v>495</v>
      </c>
      <c r="C115" s="7" t="s">
        <v>481</v>
      </c>
      <c r="D115" s="18">
        <v>3</v>
      </c>
      <c r="E115" s="18">
        <v>5</v>
      </c>
      <c r="F115" s="18">
        <v>8</v>
      </c>
      <c r="G115" s="18">
        <v>10</v>
      </c>
      <c r="H115" s="18">
        <v>10</v>
      </c>
      <c r="I115" s="18">
        <v>3</v>
      </c>
      <c r="J115" s="18">
        <v>10</v>
      </c>
      <c r="K115" s="18">
        <v>5</v>
      </c>
      <c r="L115" s="18">
        <v>0</v>
      </c>
      <c r="M115" s="18">
        <v>5</v>
      </c>
      <c r="N115" s="18">
        <v>1</v>
      </c>
      <c r="O115" s="18">
        <v>12</v>
      </c>
      <c r="P115" s="18">
        <v>5</v>
      </c>
      <c r="Q115" s="18">
        <v>3</v>
      </c>
      <c r="R115" s="18">
        <v>15</v>
      </c>
      <c r="S115" s="18">
        <v>0</v>
      </c>
      <c r="T115" s="18">
        <v>3</v>
      </c>
      <c r="U115" s="18">
        <v>2</v>
      </c>
      <c r="V115" s="19">
        <f t="shared" si="1"/>
        <v>100</v>
      </c>
    </row>
    <row r="116" spans="1:22" ht="15" customHeight="1">
      <c r="A116" s="6" t="s">
        <v>496</v>
      </c>
      <c r="B116" s="7" t="s">
        <v>497</v>
      </c>
      <c r="C116" s="7" t="s">
        <v>481</v>
      </c>
      <c r="D116" s="18">
        <v>3</v>
      </c>
      <c r="E116" s="18">
        <v>3</v>
      </c>
      <c r="F116" s="18">
        <v>10</v>
      </c>
      <c r="G116" s="18">
        <v>5</v>
      </c>
      <c r="H116" s="18">
        <v>5</v>
      </c>
      <c r="I116" s="18">
        <v>3</v>
      </c>
      <c r="J116" s="18">
        <v>15</v>
      </c>
      <c r="K116" s="18">
        <v>8</v>
      </c>
      <c r="L116" s="18">
        <v>1</v>
      </c>
      <c r="M116" s="18">
        <v>3</v>
      </c>
      <c r="N116" s="18">
        <v>12</v>
      </c>
      <c r="O116" s="18">
        <v>8</v>
      </c>
      <c r="P116" s="18">
        <v>8</v>
      </c>
      <c r="Q116" s="18">
        <v>3</v>
      </c>
      <c r="R116" s="18">
        <v>5</v>
      </c>
      <c r="S116" s="18">
        <v>0</v>
      </c>
      <c r="T116" s="18">
        <v>5</v>
      </c>
      <c r="U116" s="18">
        <v>3</v>
      </c>
      <c r="V116" s="19">
        <f t="shared" si="1"/>
        <v>100</v>
      </c>
    </row>
    <row r="117" spans="1:22" ht="15" customHeight="1">
      <c r="A117" s="6" t="s">
        <v>498</v>
      </c>
      <c r="B117" s="7" t="s">
        <v>499</v>
      </c>
      <c r="C117" s="7" t="s">
        <v>481</v>
      </c>
      <c r="D117" s="18">
        <v>2</v>
      </c>
      <c r="E117" s="18">
        <v>5</v>
      </c>
      <c r="F117" s="18">
        <v>8</v>
      </c>
      <c r="G117" s="18">
        <v>5</v>
      </c>
      <c r="H117" s="18">
        <v>8</v>
      </c>
      <c r="I117" s="18">
        <v>3</v>
      </c>
      <c r="J117" s="18">
        <v>10</v>
      </c>
      <c r="K117" s="18">
        <v>8</v>
      </c>
      <c r="L117" s="18">
        <v>0</v>
      </c>
      <c r="M117" s="18">
        <v>3</v>
      </c>
      <c r="N117" s="18">
        <v>5</v>
      </c>
      <c r="O117" s="18">
        <v>15</v>
      </c>
      <c r="P117" s="18">
        <v>12</v>
      </c>
      <c r="Q117" s="18">
        <v>3</v>
      </c>
      <c r="R117" s="18">
        <v>10</v>
      </c>
      <c r="S117" s="18">
        <v>0</v>
      </c>
      <c r="T117" s="18">
        <v>3</v>
      </c>
      <c r="U117" s="18">
        <v>0</v>
      </c>
      <c r="V117" s="19">
        <f t="shared" si="1"/>
        <v>100</v>
      </c>
    </row>
    <row r="118" spans="1:22" ht="15" customHeight="1">
      <c r="A118" s="6" t="s">
        <v>500</v>
      </c>
      <c r="B118" s="7" t="s">
        <v>501</v>
      </c>
      <c r="C118" s="7" t="s">
        <v>481</v>
      </c>
      <c r="D118" s="18">
        <v>3</v>
      </c>
      <c r="E118" s="18">
        <v>5</v>
      </c>
      <c r="F118" s="18">
        <v>10</v>
      </c>
      <c r="G118" s="18">
        <v>5</v>
      </c>
      <c r="H118" s="18">
        <v>2</v>
      </c>
      <c r="I118" s="18">
        <v>3</v>
      </c>
      <c r="J118" s="18">
        <v>20</v>
      </c>
      <c r="K118" s="18">
        <v>12</v>
      </c>
      <c r="L118" s="18">
        <v>1</v>
      </c>
      <c r="M118" s="18">
        <v>2</v>
      </c>
      <c r="N118" s="18">
        <v>3</v>
      </c>
      <c r="O118" s="18">
        <v>8</v>
      </c>
      <c r="P118" s="18">
        <v>10</v>
      </c>
      <c r="Q118" s="18">
        <v>3</v>
      </c>
      <c r="R118" s="18">
        <v>5</v>
      </c>
      <c r="S118" s="18">
        <v>0</v>
      </c>
      <c r="T118" s="18">
        <v>5</v>
      </c>
      <c r="U118" s="18">
        <v>3</v>
      </c>
      <c r="V118" s="19">
        <f t="shared" si="1"/>
        <v>100</v>
      </c>
    </row>
    <row r="119" spans="1:22" ht="15" customHeight="1">
      <c r="A119" s="6" t="s">
        <v>502</v>
      </c>
      <c r="B119" s="7" t="s">
        <v>503</v>
      </c>
      <c r="C119" s="7" t="s">
        <v>481</v>
      </c>
      <c r="D119" s="18">
        <v>3</v>
      </c>
      <c r="E119" s="18">
        <v>3</v>
      </c>
      <c r="F119" s="18">
        <v>22</v>
      </c>
      <c r="G119" s="18">
        <v>3</v>
      </c>
      <c r="H119" s="18">
        <v>10</v>
      </c>
      <c r="I119" s="18">
        <v>5</v>
      </c>
      <c r="J119" s="18">
        <v>20</v>
      </c>
      <c r="K119" s="18">
        <v>3</v>
      </c>
      <c r="L119" s="18">
        <v>0</v>
      </c>
      <c r="M119" s="18">
        <v>10</v>
      </c>
      <c r="N119" s="18">
        <v>0</v>
      </c>
      <c r="O119" s="18">
        <v>8</v>
      </c>
      <c r="P119" s="18">
        <v>2</v>
      </c>
      <c r="Q119" s="18">
        <v>3</v>
      </c>
      <c r="R119" s="18">
        <v>3</v>
      </c>
      <c r="S119" s="18">
        <v>0</v>
      </c>
      <c r="T119" s="18">
        <v>3</v>
      </c>
      <c r="U119" s="18">
        <v>2</v>
      </c>
      <c r="V119" s="19">
        <f t="shared" si="1"/>
        <v>100</v>
      </c>
    </row>
    <row r="120" spans="1:22" ht="15" customHeight="1">
      <c r="A120" s="6" t="s">
        <v>504</v>
      </c>
      <c r="B120" s="7" t="s">
        <v>505</v>
      </c>
      <c r="C120" s="7" t="s">
        <v>481</v>
      </c>
      <c r="D120" s="18">
        <v>5</v>
      </c>
      <c r="E120" s="18">
        <v>5</v>
      </c>
      <c r="F120" s="18">
        <v>8</v>
      </c>
      <c r="G120" s="18">
        <v>8</v>
      </c>
      <c r="H120" s="18">
        <v>5</v>
      </c>
      <c r="I120" s="18">
        <v>5</v>
      </c>
      <c r="J120" s="18">
        <v>15</v>
      </c>
      <c r="K120" s="18">
        <v>5</v>
      </c>
      <c r="L120" s="18">
        <v>0</v>
      </c>
      <c r="M120" s="18">
        <v>3</v>
      </c>
      <c r="N120" s="18">
        <v>0</v>
      </c>
      <c r="O120" s="18">
        <v>12</v>
      </c>
      <c r="P120" s="18">
        <v>5</v>
      </c>
      <c r="Q120" s="18">
        <v>2</v>
      </c>
      <c r="R120" s="18">
        <v>12</v>
      </c>
      <c r="S120" s="18">
        <v>0</v>
      </c>
      <c r="T120" s="18">
        <v>5</v>
      </c>
      <c r="U120" s="18">
        <v>5</v>
      </c>
      <c r="V120" s="19">
        <f t="shared" si="1"/>
        <v>100</v>
      </c>
    </row>
    <row r="121" spans="1:22" ht="15" customHeight="1">
      <c r="A121" s="6" t="s">
        <v>506</v>
      </c>
      <c r="B121" s="7" t="s">
        <v>507</v>
      </c>
      <c r="C121" s="7" t="s">
        <v>481</v>
      </c>
      <c r="D121" s="18">
        <v>3</v>
      </c>
      <c r="E121" s="18">
        <v>5</v>
      </c>
      <c r="F121" s="18">
        <v>12</v>
      </c>
      <c r="G121" s="18">
        <v>5</v>
      </c>
      <c r="H121" s="18">
        <v>8</v>
      </c>
      <c r="I121" s="18">
        <v>3</v>
      </c>
      <c r="J121" s="18">
        <v>15</v>
      </c>
      <c r="K121" s="18">
        <v>5</v>
      </c>
      <c r="L121" s="18">
        <v>0</v>
      </c>
      <c r="M121" s="18">
        <v>5</v>
      </c>
      <c r="N121" s="18">
        <v>2</v>
      </c>
      <c r="O121" s="18">
        <v>12</v>
      </c>
      <c r="P121" s="18">
        <v>5</v>
      </c>
      <c r="Q121" s="18">
        <v>3</v>
      </c>
      <c r="R121" s="18">
        <v>8</v>
      </c>
      <c r="S121" s="18">
        <v>0</v>
      </c>
      <c r="T121" s="18">
        <v>5</v>
      </c>
      <c r="U121" s="18">
        <v>4</v>
      </c>
      <c r="V121" s="19">
        <f t="shared" si="1"/>
        <v>100</v>
      </c>
    </row>
    <row r="122" spans="1:22" ht="15" customHeight="1">
      <c r="A122" s="6" t="s">
        <v>508</v>
      </c>
      <c r="B122" s="7" t="s">
        <v>495</v>
      </c>
      <c r="C122" s="7" t="s">
        <v>481</v>
      </c>
      <c r="D122" s="18">
        <v>3</v>
      </c>
      <c r="E122" s="18">
        <v>5</v>
      </c>
      <c r="F122" s="18">
        <v>8</v>
      </c>
      <c r="G122" s="18">
        <v>10</v>
      </c>
      <c r="H122" s="18">
        <v>10</v>
      </c>
      <c r="I122" s="18">
        <v>3</v>
      </c>
      <c r="J122" s="18">
        <v>10</v>
      </c>
      <c r="K122" s="18">
        <v>5</v>
      </c>
      <c r="L122" s="18">
        <v>0</v>
      </c>
      <c r="M122" s="18">
        <v>5</v>
      </c>
      <c r="N122" s="18">
        <v>1</v>
      </c>
      <c r="O122" s="18">
        <v>12</v>
      </c>
      <c r="P122" s="18">
        <v>5</v>
      </c>
      <c r="Q122" s="18">
        <v>3</v>
      </c>
      <c r="R122" s="18">
        <v>15</v>
      </c>
      <c r="S122" s="18">
        <v>0</v>
      </c>
      <c r="T122" s="18">
        <v>3</v>
      </c>
      <c r="U122" s="18">
        <v>2</v>
      </c>
      <c r="V122" s="19">
        <f t="shared" si="1"/>
        <v>100</v>
      </c>
    </row>
    <row r="123" spans="1:22" ht="15" customHeight="1">
      <c r="A123" s="6" t="s">
        <v>509</v>
      </c>
      <c r="B123" s="7" t="s">
        <v>510</v>
      </c>
      <c r="C123" s="7" t="s">
        <v>481</v>
      </c>
      <c r="D123" s="18">
        <v>2</v>
      </c>
      <c r="E123" s="18">
        <v>2</v>
      </c>
      <c r="F123" s="18">
        <v>8</v>
      </c>
      <c r="G123" s="18">
        <v>3</v>
      </c>
      <c r="H123" s="18">
        <v>3</v>
      </c>
      <c r="I123" s="18">
        <v>2</v>
      </c>
      <c r="J123" s="18">
        <v>10</v>
      </c>
      <c r="K123" s="18">
        <v>5</v>
      </c>
      <c r="L123" s="18">
        <v>0</v>
      </c>
      <c r="M123" s="18">
        <v>15</v>
      </c>
      <c r="N123" s="18">
        <v>30</v>
      </c>
      <c r="O123" s="18">
        <v>8</v>
      </c>
      <c r="P123" s="18">
        <v>3</v>
      </c>
      <c r="Q123" s="18">
        <v>2</v>
      </c>
      <c r="R123" s="18">
        <v>3</v>
      </c>
      <c r="S123" s="18">
        <v>0</v>
      </c>
      <c r="T123" s="18">
        <v>4</v>
      </c>
      <c r="U123" s="18">
        <v>0</v>
      </c>
      <c r="V123" s="19">
        <f t="shared" si="1"/>
        <v>100</v>
      </c>
    </row>
    <row r="124" spans="1:22" ht="15" customHeight="1">
      <c r="A124" s="6" t="s">
        <v>511</v>
      </c>
      <c r="B124" s="7" t="s">
        <v>512</v>
      </c>
      <c r="C124" s="7" t="s">
        <v>481</v>
      </c>
      <c r="D124" s="18">
        <v>3</v>
      </c>
      <c r="E124" s="18">
        <v>3</v>
      </c>
      <c r="F124" s="18">
        <v>10</v>
      </c>
      <c r="G124" s="18">
        <v>3</v>
      </c>
      <c r="H124" s="18">
        <v>3</v>
      </c>
      <c r="I124" s="18">
        <v>3</v>
      </c>
      <c r="J124" s="18">
        <v>15</v>
      </c>
      <c r="K124" s="18">
        <v>5</v>
      </c>
      <c r="L124" s="18">
        <v>0</v>
      </c>
      <c r="M124" s="18">
        <v>15</v>
      </c>
      <c r="N124" s="18">
        <v>10</v>
      </c>
      <c r="O124" s="18">
        <v>10</v>
      </c>
      <c r="P124" s="18">
        <v>5</v>
      </c>
      <c r="Q124" s="18">
        <v>3</v>
      </c>
      <c r="R124" s="18">
        <v>5</v>
      </c>
      <c r="S124" s="18">
        <v>0</v>
      </c>
      <c r="T124" s="18">
        <v>5</v>
      </c>
      <c r="U124" s="18">
        <v>2</v>
      </c>
      <c r="V124" s="19">
        <f t="shared" si="1"/>
        <v>100</v>
      </c>
    </row>
    <row r="125" spans="1:22" ht="15" customHeight="1">
      <c r="A125" s="6" t="s">
        <v>513</v>
      </c>
      <c r="B125" s="7" t="s">
        <v>514</v>
      </c>
      <c r="C125" s="7" t="s">
        <v>481</v>
      </c>
      <c r="D125" s="18">
        <v>3</v>
      </c>
      <c r="E125" s="18">
        <v>3</v>
      </c>
      <c r="F125" s="18">
        <v>8</v>
      </c>
      <c r="G125" s="18">
        <v>3</v>
      </c>
      <c r="H125" s="18">
        <v>20</v>
      </c>
      <c r="I125" s="18">
        <v>5</v>
      </c>
      <c r="J125" s="18">
        <v>12</v>
      </c>
      <c r="K125" s="18">
        <v>5</v>
      </c>
      <c r="L125" s="18">
        <v>0</v>
      </c>
      <c r="M125" s="18">
        <v>15</v>
      </c>
      <c r="N125" s="18">
        <v>0</v>
      </c>
      <c r="O125" s="18">
        <v>10</v>
      </c>
      <c r="P125" s="18">
        <v>8</v>
      </c>
      <c r="Q125" s="18">
        <v>2</v>
      </c>
      <c r="R125" s="18">
        <v>3</v>
      </c>
      <c r="S125" s="18">
        <v>0</v>
      </c>
      <c r="T125" s="18">
        <v>3</v>
      </c>
      <c r="U125" s="18">
        <v>0</v>
      </c>
      <c r="V125" s="19">
        <f t="shared" si="1"/>
        <v>100</v>
      </c>
    </row>
    <row r="126" spans="1:22" ht="15" customHeight="1">
      <c r="A126" s="6" t="s">
        <v>515</v>
      </c>
      <c r="B126" s="7" t="s">
        <v>516</v>
      </c>
      <c r="C126" s="7" t="s">
        <v>481</v>
      </c>
      <c r="D126" s="18">
        <v>3</v>
      </c>
      <c r="E126" s="18">
        <v>3</v>
      </c>
      <c r="F126" s="18">
        <v>8</v>
      </c>
      <c r="G126" s="18">
        <v>3</v>
      </c>
      <c r="H126" s="18">
        <v>12</v>
      </c>
      <c r="I126" s="18">
        <v>5</v>
      </c>
      <c r="J126" s="18">
        <v>12</v>
      </c>
      <c r="K126" s="18">
        <v>5</v>
      </c>
      <c r="L126" s="18">
        <v>0</v>
      </c>
      <c r="M126" s="18">
        <v>15</v>
      </c>
      <c r="N126" s="18">
        <v>0</v>
      </c>
      <c r="O126" s="18">
        <v>12</v>
      </c>
      <c r="P126" s="18">
        <v>8</v>
      </c>
      <c r="Q126" s="18">
        <v>2</v>
      </c>
      <c r="R126" s="18">
        <v>3</v>
      </c>
      <c r="S126" s="18">
        <v>0</v>
      </c>
      <c r="T126" s="18">
        <v>5</v>
      </c>
      <c r="U126" s="18">
        <v>4</v>
      </c>
      <c r="V126" s="19">
        <f t="shared" si="1"/>
        <v>100</v>
      </c>
    </row>
    <row r="127" spans="1:22" ht="15" customHeight="1">
      <c r="A127" s="6" t="s">
        <v>517</v>
      </c>
      <c r="B127" s="7" t="s">
        <v>518</v>
      </c>
      <c r="C127" s="7" t="s">
        <v>481</v>
      </c>
      <c r="D127" s="18">
        <v>8</v>
      </c>
      <c r="E127" s="18">
        <v>5</v>
      </c>
      <c r="F127" s="18">
        <v>8</v>
      </c>
      <c r="G127" s="18">
        <v>5</v>
      </c>
      <c r="H127" s="18">
        <v>2</v>
      </c>
      <c r="I127" s="18">
        <v>5</v>
      </c>
      <c r="J127" s="18">
        <v>10</v>
      </c>
      <c r="K127" s="18">
        <v>12</v>
      </c>
      <c r="L127" s="18">
        <v>0</v>
      </c>
      <c r="M127" s="18">
        <v>2</v>
      </c>
      <c r="N127" s="18">
        <v>0</v>
      </c>
      <c r="O127" s="18">
        <v>8</v>
      </c>
      <c r="P127" s="18">
        <v>3</v>
      </c>
      <c r="Q127" s="18">
        <v>3</v>
      </c>
      <c r="R127" s="18">
        <v>3</v>
      </c>
      <c r="S127" s="18">
        <v>20</v>
      </c>
      <c r="T127" s="18">
        <v>3</v>
      </c>
      <c r="U127" s="18">
        <v>3</v>
      </c>
      <c r="V127" s="19">
        <f t="shared" si="1"/>
        <v>100</v>
      </c>
    </row>
    <row r="128" spans="1:22" ht="15" customHeight="1">
      <c r="A128" s="6" t="s">
        <v>519</v>
      </c>
      <c r="B128" s="7" t="s">
        <v>520</v>
      </c>
      <c r="C128" s="7" t="s">
        <v>481</v>
      </c>
      <c r="D128" s="18">
        <v>8</v>
      </c>
      <c r="E128" s="18">
        <v>5</v>
      </c>
      <c r="F128" s="18">
        <v>8</v>
      </c>
      <c r="G128" s="18">
        <v>5</v>
      </c>
      <c r="H128" s="18">
        <v>2</v>
      </c>
      <c r="I128" s="18">
        <v>5</v>
      </c>
      <c r="J128" s="18">
        <v>10</v>
      </c>
      <c r="K128" s="18">
        <v>10</v>
      </c>
      <c r="L128" s="18">
        <v>0</v>
      </c>
      <c r="M128" s="18">
        <v>2</v>
      </c>
      <c r="N128" s="18">
        <v>0</v>
      </c>
      <c r="O128" s="18">
        <v>10</v>
      </c>
      <c r="P128" s="18">
        <v>5</v>
      </c>
      <c r="Q128" s="18">
        <v>3</v>
      </c>
      <c r="R128" s="18">
        <v>5</v>
      </c>
      <c r="S128" s="18">
        <v>15</v>
      </c>
      <c r="T128" s="18">
        <v>3</v>
      </c>
      <c r="U128" s="18">
        <v>4</v>
      </c>
      <c r="V128" s="19">
        <f t="shared" si="1"/>
        <v>100</v>
      </c>
    </row>
    <row r="129" spans="1:22" ht="15" customHeight="1">
      <c r="A129" s="6" t="s">
        <v>521</v>
      </c>
      <c r="B129" s="7" t="s">
        <v>522</v>
      </c>
      <c r="C129" s="7" t="s">
        <v>481</v>
      </c>
      <c r="D129" s="18">
        <v>2</v>
      </c>
      <c r="E129" s="18">
        <v>5</v>
      </c>
      <c r="F129" s="18">
        <v>8</v>
      </c>
      <c r="G129" s="18">
        <v>5</v>
      </c>
      <c r="H129" s="18">
        <v>2</v>
      </c>
      <c r="I129" s="18">
        <v>1</v>
      </c>
      <c r="J129" s="18">
        <v>10</v>
      </c>
      <c r="K129" s="18">
        <v>15</v>
      </c>
      <c r="L129" s="18">
        <v>0</v>
      </c>
      <c r="M129" s="18">
        <v>1</v>
      </c>
      <c r="N129" s="18">
        <v>0</v>
      </c>
      <c r="O129" s="18">
        <v>8</v>
      </c>
      <c r="P129" s="18">
        <v>5</v>
      </c>
      <c r="Q129" s="18">
        <v>15</v>
      </c>
      <c r="R129" s="18">
        <v>5</v>
      </c>
      <c r="S129" s="18">
        <v>15</v>
      </c>
      <c r="T129" s="18">
        <v>2</v>
      </c>
      <c r="U129" s="18">
        <v>1</v>
      </c>
      <c r="V129" s="19">
        <f t="shared" si="1"/>
        <v>100</v>
      </c>
    </row>
    <row r="130" spans="1:22" ht="15" customHeight="1">
      <c r="A130" s="6" t="s">
        <v>523</v>
      </c>
      <c r="B130" s="7" t="s">
        <v>524</v>
      </c>
      <c r="C130" s="7" t="s">
        <v>481</v>
      </c>
      <c r="D130" s="18">
        <v>5</v>
      </c>
      <c r="E130" s="18">
        <v>5</v>
      </c>
      <c r="F130" s="18">
        <v>5</v>
      </c>
      <c r="G130" s="18">
        <v>5</v>
      </c>
      <c r="H130" s="18">
        <v>2</v>
      </c>
      <c r="I130" s="18">
        <v>3</v>
      </c>
      <c r="J130" s="18">
        <v>5</v>
      </c>
      <c r="K130" s="18">
        <v>15</v>
      </c>
      <c r="L130" s="18">
        <v>0</v>
      </c>
      <c r="M130" s="18">
        <v>2</v>
      </c>
      <c r="N130" s="18">
        <v>2</v>
      </c>
      <c r="O130" s="18">
        <v>5</v>
      </c>
      <c r="P130" s="18">
        <v>3</v>
      </c>
      <c r="Q130" s="18">
        <v>15</v>
      </c>
      <c r="R130" s="18">
        <v>5</v>
      </c>
      <c r="S130" s="18">
        <v>18</v>
      </c>
      <c r="T130" s="18">
        <v>3</v>
      </c>
      <c r="U130" s="18">
        <v>2</v>
      </c>
      <c r="V130" s="19">
        <f t="shared" ref="V130:V193" si="2">SUM(D130:U130)</f>
        <v>100</v>
      </c>
    </row>
    <row r="131" spans="1:22" ht="15" customHeight="1">
      <c r="A131" s="6" t="s">
        <v>525</v>
      </c>
      <c r="B131" s="7" t="s">
        <v>526</v>
      </c>
      <c r="C131" s="7" t="s">
        <v>481</v>
      </c>
      <c r="D131" s="18">
        <v>8</v>
      </c>
      <c r="E131" s="18">
        <v>5</v>
      </c>
      <c r="F131" s="18">
        <v>8</v>
      </c>
      <c r="G131" s="18">
        <v>5</v>
      </c>
      <c r="H131" s="18">
        <v>2</v>
      </c>
      <c r="I131" s="18">
        <v>5</v>
      </c>
      <c r="J131" s="18">
        <v>8</v>
      </c>
      <c r="K131" s="18">
        <v>12</v>
      </c>
      <c r="L131" s="18">
        <v>0</v>
      </c>
      <c r="M131" s="18">
        <v>2</v>
      </c>
      <c r="N131" s="18">
        <v>0</v>
      </c>
      <c r="O131" s="18">
        <v>8</v>
      </c>
      <c r="P131" s="18">
        <v>3</v>
      </c>
      <c r="Q131" s="18">
        <v>5</v>
      </c>
      <c r="R131" s="18">
        <v>3</v>
      </c>
      <c r="S131" s="18">
        <v>18</v>
      </c>
      <c r="T131" s="18">
        <v>5</v>
      </c>
      <c r="U131" s="18">
        <v>3</v>
      </c>
      <c r="V131" s="19">
        <f t="shared" si="2"/>
        <v>100</v>
      </c>
    </row>
    <row r="132" spans="1:22" ht="15" customHeight="1">
      <c r="A132" s="6" t="s">
        <v>527</v>
      </c>
      <c r="B132" s="7" t="s">
        <v>528</v>
      </c>
      <c r="C132" s="7" t="s">
        <v>481</v>
      </c>
      <c r="D132" s="18">
        <v>5</v>
      </c>
      <c r="E132" s="18">
        <v>3</v>
      </c>
      <c r="F132" s="18">
        <v>18</v>
      </c>
      <c r="G132" s="18">
        <v>5</v>
      </c>
      <c r="H132" s="18">
        <v>2</v>
      </c>
      <c r="I132" s="18">
        <v>8</v>
      </c>
      <c r="J132" s="18">
        <v>5</v>
      </c>
      <c r="K132" s="18">
        <v>10</v>
      </c>
      <c r="L132" s="18">
        <v>1</v>
      </c>
      <c r="M132" s="18">
        <v>3</v>
      </c>
      <c r="N132" s="18">
        <v>2</v>
      </c>
      <c r="O132" s="18">
        <v>3</v>
      </c>
      <c r="P132" s="18">
        <v>1</v>
      </c>
      <c r="Q132" s="18">
        <v>10</v>
      </c>
      <c r="R132" s="18">
        <v>5</v>
      </c>
      <c r="S132" s="18">
        <v>0</v>
      </c>
      <c r="T132" s="18">
        <v>15</v>
      </c>
      <c r="U132" s="18">
        <v>4</v>
      </c>
      <c r="V132" s="19">
        <f t="shared" si="2"/>
        <v>100</v>
      </c>
    </row>
    <row r="133" spans="1:22" ht="15" customHeight="1">
      <c r="A133" s="6" t="s">
        <v>529</v>
      </c>
      <c r="B133" s="7" t="s">
        <v>530</v>
      </c>
      <c r="C133" s="7" t="s">
        <v>481</v>
      </c>
      <c r="D133" s="18">
        <v>5</v>
      </c>
      <c r="E133" s="18">
        <v>3</v>
      </c>
      <c r="F133" s="18">
        <v>15</v>
      </c>
      <c r="G133" s="18">
        <v>3</v>
      </c>
      <c r="H133" s="18">
        <v>2</v>
      </c>
      <c r="I133" s="18">
        <v>10</v>
      </c>
      <c r="J133" s="18">
        <v>8</v>
      </c>
      <c r="K133" s="18">
        <v>5</v>
      </c>
      <c r="L133" s="18">
        <v>1</v>
      </c>
      <c r="M133" s="18">
        <v>5</v>
      </c>
      <c r="N133" s="18">
        <v>3</v>
      </c>
      <c r="O133" s="18">
        <v>5</v>
      </c>
      <c r="P133" s="18">
        <v>2</v>
      </c>
      <c r="Q133" s="18">
        <v>8</v>
      </c>
      <c r="R133" s="18">
        <v>3</v>
      </c>
      <c r="S133" s="18">
        <v>0</v>
      </c>
      <c r="T133" s="18">
        <v>18</v>
      </c>
      <c r="U133" s="18">
        <v>4</v>
      </c>
      <c r="V133" s="19">
        <f t="shared" si="2"/>
        <v>100</v>
      </c>
    </row>
    <row r="134" spans="1:22" ht="15" customHeight="1">
      <c r="A134" s="6" t="s">
        <v>531</v>
      </c>
      <c r="B134" s="7" t="s">
        <v>532</v>
      </c>
      <c r="C134" s="7" t="s">
        <v>481</v>
      </c>
      <c r="D134" s="18">
        <v>3</v>
      </c>
      <c r="E134" s="18">
        <v>3</v>
      </c>
      <c r="F134" s="18">
        <v>8</v>
      </c>
      <c r="G134" s="18">
        <v>3</v>
      </c>
      <c r="H134" s="18">
        <v>10</v>
      </c>
      <c r="I134" s="18">
        <v>10</v>
      </c>
      <c r="J134" s="18">
        <v>10</v>
      </c>
      <c r="K134" s="18">
        <v>3</v>
      </c>
      <c r="L134" s="18">
        <v>0</v>
      </c>
      <c r="M134" s="18">
        <v>25</v>
      </c>
      <c r="N134" s="18">
        <v>0</v>
      </c>
      <c r="O134" s="18">
        <v>10</v>
      </c>
      <c r="P134" s="18">
        <v>3</v>
      </c>
      <c r="Q134" s="18">
        <v>3</v>
      </c>
      <c r="R134" s="18">
        <v>5</v>
      </c>
      <c r="S134" s="18">
        <v>0</v>
      </c>
      <c r="T134" s="18">
        <v>4</v>
      </c>
      <c r="U134" s="18">
        <v>0</v>
      </c>
      <c r="V134" s="19">
        <f t="shared" si="2"/>
        <v>100</v>
      </c>
    </row>
    <row r="135" spans="1:22" ht="15" customHeight="1">
      <c r="A135" s="6" t="s">
        <v>533</v>
      </c>
      <c r="B135" s="7" t="s">
        <v>534</v>
      </c>
      <c r="C135" s="7" t="s">
        <v>481</v>
      </c>
      <c r="D135" s="18">
        <v>3</v>
      </c>
      <c r="E135" s="18">
        <v>3</v>
      </c>
      <c r="F135" s="18">
        <v>10</v>
      </c>
      <c r="G135" s="18">
        <v>5</v>
      </c>
      <c r="H135" s="18">
        <v>5</v>
      </c>
      <c r="I135" s="18">
        <v>8</v>
      </c>
      <c r="J135" s="18">
        <v>12</v>
      </c>
      <c r="K135" s="18">
        <v>5</v>
      </c>
      <c r="L135" s="18">
        <v>0</v>
      </c>
      <c r="M135" s="18">
        <v>12</v>
      </c>
      <c r="N135" s="18">
        <v>0</v>
      </c>
      <c r="O135" s="18">
        <v>10</v>
      </c>
      <c r="P135" s="18">
        <v>5</v>
      </c>
      <c r="Q135" s="18">
        <v>3</v>
      </c>
      <c r="R135" s="18">
        <v>3</v>
      </c>
      <c r="S135" s="18">
        <v>0</v>
      </c>
      <c r="T135" s="18">
        <v>8</v>
      </c>
      <c r="U135" s="18">
        <v>8</v>
      </c>
      <c r="V135" s="19">
        <f t="shared" si="2"/>
        <v>100</v>
      </c>
    </row>
    <row r="136" spans="1:22" ht="15" customHeight="1">
      <c r="A136" s="6" t="s">
        <v>535</v>
      </c>
      <c r="B136" s="7" t="s">
        <v>536</v>
      </c>
      <c r="C136" s="7" t="s">
        <v>481</v>
      </c>
      <c r="D136" s="18">
        <v>3</v>
      </c>
      <c r="E136" s="18">
        <v>3</v>
      </c>
      <c r="F136" s="18">
        <v>12</v>
      </c>
      <c r="G136" s="18">
        <v>3</v>
      </c>
      <c r="H136" s="18">
        <v>5</v>
      </c>
      <c r="I136" s="18">
        <v>10</v>
      </c>
      <c r="J136" s="18">
        <v>15</v>
      </c>
      <c r="K136" s="18">
        <v>5</v>
      </c>
      <c r="L136" s="18">
        <v>0</v>
      </c>
      <c r="M136" s="18">
        <v>8</v>
      </c>
      <c r="N136" s="18">
        <v>0</v>
      </c>
      <c r="O136" s="18">
        <v>12</v>
      </c>
      <c r="P136" s="18">
        <v>5</v>
      </c>
      <c r="Q136" s="18">
        <v>3</v>
      </c>
      <c r="R136" s="18">
        <v>5</v>
      </c>
      <c r="S136" s="18">
        <v>0</v>
      </c>
      <c r="T136" s="18">
        <v>5</v>
      </c>
      <c r="U136" s="18">
        <v>6</v>
      </c>
      <c r="V136" s="19">
        <f t="shared" si="2"/>
        <v>100</v>
      </c>
    </row>
    <row r="137" spans="1:22" ht="15" customHeight="1">
      <c r="A137" s="6" t="s">
        <v>537</v>
      </c>
      <c r="B137" s="7" t="s">
        <v>538</v>
      </c>
      <c r="C137" s="7" t="s">
        <v>481</v>
      </c>
      <c r="D137" s="18">
        <v>2</v>
      </c>
      <c r="E137" s="18">
        <v>5</v>
      </c>
      <c r="F137" s="18">
        <v>10</v>
      </c>
      <c r="G137" s="18">
        <v>5</v>
      </c>
      <c r="H137" s="18">
        <v>2</v>
      </c>
      <c r="I137" s="18">
        <v>5</v>
      </c>
      <c r="J137" s="18">
        <v>20</v>
      </c>
      <c r="K137" s="18">
        <v>5</v>
      </c>
      <c r="L137" s="18">
        <v>1</v>
      </c>
      <c r="M137" s="18">
        <v>2</v>
      </c>
      <c r="N137" s="18">
        <v>5</v>
      </c>
      <c r="O137" s="18">
        <v>10</v>
      </c>
      <c r="P137" s="18">
        <v>5</v>
      </c>
      <c r="Q137" s="18">
        <v>3</v>
      </c>
      <c r="R137" s="18">
        <v>8</v>
      </c>
      <c r="S137" s="18">
        <v>0</v>
      </c>
      <c r="T137" s="18">
        <v>10</v>
      </c>
      <c r="U137" s="18">
        <v>2</v>
      </c>
      <c r="V137" s="19">
        <f t="shared" si="2"/>
        <v>100</v>
      </c>
    </row>
    <row r="138" spans="1:22" ht="15" customHeight="1">
      <c r="A138" s="6" t="s">
        <v>539</v>
      </c>
      <c r="B138" s="7" t="s">
        <v>540</v>
      </c>
      <c r="C138" s="7" t="s">
        <v>481</v>
      </c>
      <c r="D138" s="18">
        <v>2</v>
      </c>
      <c r="E138" s="18">
        <v>3</v>
      </c>
      <c r="F138" s="18">
        <v>15</v>
      </c>
      <c r="G138" s="18">
        <v>5</v>
      </c>
      <c r="H138" s="18">
        <v>2</v>
      </c>
      <c r="I138" s="18">
        <v>3</v>
      </c>
      <c r="J138" s="18">
        <v>25</v>
      </c>
      <c r="K138" s="18">
        <v>8</v>
      </c>
      <c r="L138" s="18">
        <v>1</v>
      </c>
      <c r="M138" s="18">
        <v>2</v>
      </c>
      <c r="N138" s="18">
        <v>5</v>
      </c>
      <c r="O138" s="18">
        <v>5</v>
      </c>
      <c r="P138" s="18">
        <v>5</v>
      </c>
      <c r="Q138" s="18">
        <v>2</v>
      </c>
      <c r="R138" s="18">
        <v>3</v>
      </c>
      <c r="S138" s="18">
        <v>0</v>
      </c>
      <c r="T138" s="18">
        <v>10</v>
      </c>
      <c r="U138" s="18">
        <v>4</v>
      </c>
      <c r="V138" s="19">
        <f t="shared" si="2"/>
        <v>100</v>
      </c>
    </row>
    <row r="139" spans="1:22" ht="15" customHeight="1">
      <c r="A139" s="6" t="s">
        <v>541</v>
      </c>
      <c r="B139" s="7" t="s">
        <v>542</v>
      </c>
      <c r="C139" s="7" t="s">
        <v>543</v>
      </c>
      <c r="D139" s="18">
        <v>8</v>
      </c>
      <c r="E139" s="18">
        <v>3</v>
      </c>
      <c r="F139" s="18">
        <v>8</v>
      </c>
      <c r="G139" s="18">
        <v>3</v>
      </c>
      <c r="H139" s="18">
        <v>8</v>
      </c>
      <c r="I139" s="18">
        <v>8</v>
      </c>
      <c r="J139" s="18">
        <v>5</v>
      </c>
      <c r="K139" s="18">
        <v>2</v>
      </c>
      <c r="L139" s="18">
        <v>0</v>
      </c>
      <c r="M139" s="18">
        <v>18</v>
      </c>
      <c r="N139" s="18">
        <v>0</v>
      </c>
      <c r="O139" s="18">
        <v>3</v>
      </c>
      <c r="P139" s="18">
        <v>1</v>
      </c>
      <c r="Q139" s="18">
        <v>3</v>
      </c>
      <c r="R139" s="18">
        <v>3</v>
      </c>
      <c r="S139" s="18">
        <v>0</v>
      </c>
      <c r="T139" s="18">
        <v>25</v>
      </c>
      <c r="U139" s="18">
        <v>2</v>
      </c>
      <c r="V139" s="19">
        <f t="shared" si="2"/>
        <v>100</v>
      </c>
    </row>
    <row r="140" spans="1:22" ht="15" customHeight="1">
      <c r="A140" s="6" t="s">
        <v>544</v>
      </c>
      <c r="B140" s="7" t="s">
        <v>545</v>
      </c>
      <c r="C140" s="7" t="s">
        <v>543</v>
      </c>
      <c r="D140" s="18">
        <v>5</v>
      </c>
      <c r="E140" s="18">
        <v>3</v>
      </c>
      <c r="F140" s="18">
        <v>5</v>
      </c>
      <c r="G140" s="18">
        <v>3</v>
      </c>
      <c r="H140" s="18">
        <v>5</v>
      </c>
      <c r="I140" s="18">
        <v>5</v>
      </c>
      <c r="J140" s="18">
        <v>5</v>
      </c>
      <c r="K140" s="18">
        <v>3</v>
      </c>
      <c r="L140" s="18">
        <v>0</v>
      </c>
      <c r="M140" s="18">
        <v>20</v>
      </c>
      <c r="N140" s="18">
        <v>0</v>
      </c>
      <c r="O140" s="18">
        <v>5</v>
      </c>
      <c r="P140" s="18">
        <v>2</v>
      </c>
      <c r="Q140" s="18">
        <v>3</v>
      </c>
      <c r="R140" s="18">
        <v>5</v>
      </c>
      <c r="S140" s="18">
        <v>0</v>
      </c>
      <c r="T140" s="18">
        <v>28</v>
      </c>
      <c r="U140" s="18">
        <v>3</v>
      </c>
      <c r="V140" s="19">
        <f t="shared" si="2"/>
        <v>100</v>
      </c>
    </row>
    <row r="141" spans="1:22" ht="15" customHeight="1">
      <c r="A141" s="6" t="s">
        <v>546</v>
      </c>
      <c r="B141" s="7" t="s">
        <v>547</v>
      </c>
      <c r="C141" s="7" t="s">
        <v>543</v>
      </c>
      <c r="D141" s="18">
        <v>5</v>
      </c>
      <c r="E141" s="18">
        <v>3</v>
      </c>
      <c r="F141" s="18">
        <v>5</v>
      </c>
      <c r="G141" s="18">
        <v>3</v>
      </c>
      <c r="H141" s="18">
        <v>5</v>
      </c>
      <c r="I141" s="18">
        <v>5</v>
      </c>
      <c r="J141" s="18">
        <v>5</v>
      </c>
      <c r="K141" s="18">
        <v>3</v>
      </c>
      <c r="L141" s="18">
        <v>0</v>
      </c>
      <c r="M141" s="18">
        <v>20</v>
      </c>
      <c r="N141" s="18">
        <v>0</v>
      </c>
      <c r="O141" s="18">
        <v>5</v>
      </c>
      <c r="P141" s="18">
        <v>2</v>
      </c>
      <c r="Q141" s="18">
        <v>3</v>
      </c>
      <c r="R141" s="18">
        <v>5</v>
      </c>
      <c r="S141" s="18">
        <v>0</v>
      </c>
      <c r="T141" s="18">
        <v>25</v>
      </c>
      <c r="U141" s="18">
        <v>6</v>
      </c>
      <c r="V141" s="19">
        <f t="shared" si="2"/>
        <v>100</v>
      </c>
    </row>
    <row r="142" spans="1:22" ht="15" customHeight="1">
      <c r="A142" s="6" t="s">
        <v>548</v>
      </c>
      <c r="B142" s="7" t="s">
        <v>549</v>
      </c>
      <c r="C142" s="7" t="s">
        <v>543</v>
      </c>
      <c r="D142" s="18">
        <v>5</v>
      </c>
      <c r="E142" s="18">
        <v>3</v>
      </c>
      <c r="F142" s="18">
        <v>5</v>
      </c>
      <c r="G142" s="18">
        <v>3</v>
      </c>
      <c r="H142" s="18">
        <v>5</v>
      </c>
      <c r="I142" s="18">
        <v>5</v>
      </c>
      <c r="J142" s="18">
        <v>8</v>
      </c>
      <c r="K142" s="18">
        <v>3</v>
      </c>
      <c r="L142" s="18">
        <v>0</v>
      </c>
      <c r="M142" s="18">
        <v>15</v>
      </c>
      <c r="N142" s="18">
        <v>2</v>
      </c>
      <c r="O142" s="18">
        <v>5</v>
      </c>
      <c r="P142" s="18">
        <v>2</v>
      </c>
      <c r="Q142" s="18">
        <v>3</v>
      </c>
      <c r="R142" s="18">
        <v>5</v>
      </c>
      <c r="S142" s="18">
        <v>0</v>
      </c>
      <c r="T142" s="18">
        <v>20</v>
      </c>
      <c r="U142" s="18">
        <v>11</v>
      </c>
      <c r="V142" s="19">
        <f t="shared" si="2"/>
        <v>100</v>
      </c>
    </row>
    <row r="143" spans="1:22" ht="15" customHeight="1">
      <c r="A143" s="6" t="s">
        <v>550</v>
      </c>
      <c r="B143" s="7" t="s">
        <v>551</v>
      </c>
      <c r="C143" s="7" t="s">
        <v>543</v>
      </c>
      <c r="D143" s="18">
        <v>5</v>
      </c>
      <c r="E143" s="18">
        <v>3</v>
      </c>
      <c r="F143" s="18">
        <v>5</v>
      </c>
      <c r="G143" s="18">
        <v>3</v>
      </c>
      <c r="H143" s="18">
        <v>5</v>
      </c>
      <c r="I143" s="18">
        <v>15</v>
      </c>
      <c r="J143" s="18">
        <v>8</v>
      </c>
      <c r="K143" s="18">
        <v>3</v>
      </c>
      <c r="L143" s="18">
        <v>0</v>
      </c>
      <c r="M143" s="18">
        <v>20</v>
      </c>
      <c r="N143" s="18">
        <v>0</v>
      </c>
      <c r="O143" s="18">
        <v>8</v>
      </c>
      <c r="P143" s="18">
        <v>2</v>
      </c>
      <c r="Q143" s="18">
        <v>3</v>
      </c>
      <c r="R143" s="18">
        <v>5</v>
      </c>
      <c r="S143" s="18">
        <v>0</v>
      </c>
      <c r="T143" s="18">
        <v>15</v>
      </c>
      <c r="U143" s="18">
        <v>0</v>
      </c>
      <c r="V143" s="19">
        <f t="shared" si="2"/>
        <v>100</v>
      </c>
    </row>
    <row r="144" spans="1:22" ht="15" customHeight="1">
      <c r="A144" s="6" t="s">
        <v>552</v>
      </c>
      <c r="B144" s="7" t="s">
        <v>553</v>
      </c>
      <c r="C144" s="7" t="s">
        <v>543</v>
      </c>
      <c r="D144" s="18">
        <v>5</v>
      </c>
      <c r="E144" s="18">
        <v>3</v>
      </c>
      <c r="F144" s="18">
        <v>5</v>
      </c>
      <c r="G144" s="18">
        <v>5</v>
      </c>
      <c r="H144" s="18">
        <v>8</v>
      </c>
      <c r="I144" s="18">
        <v>5</v>
      </c>
      <c r="J144" s="18">
        <v>5</v>
      </c>
      <c r="K144" s="18">
        <v>3</v>
      </c>
      <c r="L144" s="18">
        <v>0</v>
      </c>
      <c r="M144" s="18">
        <v>18</v>
      </c>
      <c r="N144" s="18">
        <v>0</v>
      </c>
      <c r="O144" s="18">
        <v>8</v>
      </c>
      <c r="P144" s="18">
        <v>2</v>
      </c>
      <c r="Q144" s="18">
        <v>3</v>
      </c>
      <c r="R144" s="18">
        <v>8</v>
      </c>
      <c r="S144" s="18">
        <v>0</v>
      </c>
      <c r="T144" s="18">
        <v>15</v>
      </c>
      <c r="U144" s="18">
        <v>7</v>
      </c>
      <c r="V144" s="19">
        <f t="shared" si="2"/>
        <v>100</v>
      </c>
    </row>
    <row r="145" spans="1:22" ht="15" customHeight="1">
      <c r="A145" s="6" t="s">
        <v>554</v>
      </c>
      <c r="B145" s="7" t="s">
        <v>555</v>
      </c>
      <c r="C145" s="7" t="s">
        <v>543</v>
      </c>
      <c r="D145" s="18">
        <v>5</v>
      </c>
      <c r="E145" s="18">
        <v>3</v>
      </c>
      <c r="F145" s="18">
        <v>5</v>
      </c>
      <c r="G145" s="18">
        <v>3</v>
      </c>
      <c r="H145" s="18">
        <v>5</v>
      </c>
      <c r="I145" s="18">
        <v>5</v>
      </c>
      <c r="J145" s="18">
        <v>5</v>
      </c>
      <c r="K145" s="18">
        <v>3</v>
      </c>
      <c r="L145" s="18">
        <v>0</v>
      </c>
      <c r="M145" s="18">
        <v>20</v>
      </c>
      <c r="N145" s="18">
        <v>0</v>
      </c>
      <c r="O145" s="18">
        <v>5</v>
      </c>
      <c r="P145" s="18">
        <v>2</v>
      </c>
      <c r="Q145" s="18">
        <v>3</v>
      </c>
      <c r="R145" s="18">
        <v>5</v>
      </c>
      <c r="S145" s="18">
        <v>0</v>
      </c>
      <c r="T145" s="18">
        <v>25</v>
      </c>
      <c r="U145" s="18">
        <v>6</v>
      </c>
      <c r="V145" s="19">
        <f t="shared" si="2"/>
        <v>100</v>
      </c>
    </row>
    <row r="146" spans="1:22" ht="15" customHeight="1">
      <c r="A146" s="6" t="s">
        <v>556</v>
      </c>
      <c r="B146" s="7" t="s">
        <v>557</v>
      </c>
      <c r="C146" s="7" t="s">
        <v>543</v>
      </c>
      <c r="D146" s="18">
        <v>5</v>
      </c>
      <c r="E146" s="18">
        <v>3</v>
      </c>
      <c r="F146" s="18">
        <v>8</v>
      </c>
      <c r="G146" s="18">
        <v>3</v>
      </c>
      <c r="H146" s="18">
        <v>5</v>
      </c>
      <c r="I146" s="18">
        <v>5</v>
      </c>
      <c r="J146" s="18">
        <v>10</v>
      </c>
      <c r="K146" s="18">
        <v>3</v>
      </c>
      <c r="L146" s="18">
        <v>0</v>
      </c>
      <c r="M146" s="18">
        <v>15</v>
      </c>
      <c r="N146" s="18">
        <v>12</v>
      </c>
      <c r="O146" s="18">
        <v>5</v>
      </c>
      <c r="P146" s="18">
        <v>3</v>
      </c>
      <c r="Q146" s="18">
        <v>3</v>
      </c>
      <c r="R146" s="18">
        <v>3</v>
      </c>
      <c r="S146" s="18">
        <v>0</v>
      </c>
      <c r="T146" s="18">
        <v>12</v>
      </c>
      <c r="U146" s="18">
        <v>5</v>
      </c>
      <c r="V146" s="19">
        <f t="shared" si="2"/>
        <v>100</v>
      </c>
    </row>
    <row r="147" spans="1:22" ht="15" customHeight="1">
      <c r="A147" s="6" t="s">
        <v>558</v>
      </c>
      <c r="B147" s="7" t="s">
        <v>559</v>
      </c>
      <c r="C147" s="7" t="s">
        <v>543</v>
      </c>
      <c r="D147" s="18">
        <v>3</v>
      </c>
      <c r="E147" s="18">
        <v>2</v>
      </c>
      <c r="F147" s="18">
        <v>5</v>
      </c>
      <c r="G147" s="18">
        <v>2</v>
      </c>
      <c r="H147" s="18">
        <v>3</v>
      </c>
      <c r="I147" s="18">
        <v>3</v>
      </c>
      <c r="J147" s="18">
        <v>3</v>
      </c>
      <c r="K147" s="18">
        <v>2</v>
      </c>
      <c r="L147" s="18">
        <v>0</v>
      </c>
      <c r="M147" s="18">
        <v>15</v>
      </c>
      <c r="N147" s="18">
        <v>25</v>
      </c>
      <c r="O147" s="18">
        <v>3</v>
      </c>
      <c r="P147" s="18">
        <v>1</v>
      </c>
      <c r="Q147" s="18">
        <v>2</v>
      </c>
      <c r="R147" s="18">
        <v>2</v>
      </c>
      <c r="S147" s="18">
        <v>0</v>
      </c>
      <c r="T147" s="18">
        <v>25</v>
      </c>
      <c r="U147" s="18">
        <v>4</v>
      </c>
      <c r="V147" s="19">
        <f t="shared" si="2"/>
        <v>100</v>
      </c>
    </row>
    <row r="148" spans="1:22" ht="15" customHeight="1">
      <c r="A148" s="6" t="s">
        <v>560</v>
      </c>
      <c r="B148" s="7" t="s">
        <v>561</v>
      </c>
      <c r="C148" s="7" t="s">
        <v>543</v>
      </c>
      <c r="D148" s="18">
        <v>5</v>
      </c>
      <c r="E148" s="18">
        <v>3</v>
      </c>
      <c r="F148" s="18">
        <v>5</v>
      </c>
      <c r="G148" s="18">
        <v>5</v>
      </c>
      <c r="H148" s="18">
        <v>3</v>
      </c>
      <c r="I148" s="18">
        <v>8</v>
      </c>
      <c r="J148" s="18">
        <v>5</v>
      </c>
      <c r="K148" s="18">
        <v>8</v>
      </c>
      <c r="L148" s="18">
        <v>0</v>
      </c>
      <c r="M148" s="18">
        <v>30</v>
      </c>
      <c r="N148" s="18">
        <v>0</v>
      </c>
      <c r="O148" s="18">
        <v>5</v>
      </c>
      <c r="P148" s="18">
        <v>2</v>
      </c>
      <c r="Q148" s="18">
        <v>5</v>
      </c>
      <c r="R148" s="18">
        <v>5</v>
      </c>
      <c r="S148" s="18">
        <v>0</v>
      </c>
      <c r="T148" s="18">
        <v>11</v>
      </c>
      <c r="U148" s="18">
        <v>0</v>
      </c>
      <c r="V148" s="19">
        <f t="shared" si="2"/>
        <v>100</v>
      </c>
    </row>
    <row r="149" spans="1:22" ht="15" customHeight="1">
      <c r="A149" s="6" t="s">
        <v>562</v>
      </c>
      <c r="B149" s="7" t="s">
        <v>563</v>
      </c>
      <c r="C149" s="7" t="s">
        <v>543</v>
      </c>
      <c r="D149" s="18">
        <v>5</v>
      </c>
      <c r="E149" s="18">
        <v>3</v>
      </c>
      <c r="F149" s="18">
        <v>5</v>
      </c>
      <c r="G149" s="18">
        <v>5</v>
      </c>
      <c r="H149" s="18">
        <v>3</v>
      </c>
      <c r="I149" s="18">
        <v>5</v>
      </c>
      <c r="J149" s="18">
        <v>5</v>
      </c>
      <c r="K149" s="18">
        <v>20</v>
      </c>
      <c r="L149" s="18">
        <v>0</v>
      </c>
      <c r="M149" s="18">
        <v>25</v>
      </c>
      <c r="N149" s="18">
        <v>0</v>
      </c>
      <c r="O149" s="18">
        <v>3</v>
      </c>
      <c r="P149" s="18">
        <v>2</v>
      </c>
      <c r="Q149" s="18">
        <v>5</v>
      </c>
      <c r="R149" s="18">
        <v>5</v>
      </c>
      <c r="S149" s="18">
        <v>0</v>
      </c>
      <c r="T149" s="18">
        <v>9</v>
      </c>
      <c r="U149" s="18">
        <v>0</v>
      </c>
      <c r="V149" s="19">
        <f t="shared" si="2"/>
        <v>100</v>
      </c>
    </row>
    <row r="150" spans="1:22" ht="15" customHeight="1">
      <c r="A150" s="6" t="s">
        <v>564</v>
      </c>
      <c r="B150" s="7" t="s">
        <v>565</v>
      </c>
      <c r="C150" s="7" t="s">
        <v>543</v>
      </c>
      <c r="D150" s="18">
        <v>5</v>
      </c>
      <c r="E150" s="18">
        <v>3</v>
      </c>
      <c r="F150" s="18">
        <v>8</v>
      </c>
      <c r="G150" s="18">
        <v>3</v>
      </c>
      <c r="H150" s="18">
        <v>5</v>
      </c>
      <c r="I150" s="18">
        <v>8</v>
      </c>
      <c r="J150" s="18">
        <v>5</v>
      </c>
      <c r="K150" s="18">
        <v>3</v>
      </c>
      <c r="L150" s="18">
        <v>0</v>
      </c>
      <c r="M150" s="18">
        <v>35</v>
      </c>
      <c r="N150" s="18">
        <v>3</v>
      </c>
      <c r="O150" s="18">
        <v>5</v>
      </c>
      <c r="P150" s="18">
        <v>2</v>
      </c>
      <c r="Q150" s="18">
        <v>3</v>
      </c>
      <c r="R150" s="18">
        <v>5</v>
      </c>
      <c r="S150" s="18">
        <v>0</v>
      </c>
      <c r="T150" s="18">
        <v>7</v>
      </c>
      <c r="U150" s="18">
        <v>0</v>
      </c>
      <c r="V150" s="19">
        <f t="shared" si="2"/>
        <v>100</v>
      </c>
    </row>
    <row r="151" spans="1:22" ht="15" customHeight="1">
      <c r="A151" s="6" t="s">
        <v>566</v>
      </c>
      <c r="B151" s="7" t="s">
        <v>567</v>
      </c>
      <c r="C151" s="7" t="s">
        <v>568</v>
      </c>
      <c r="D151" s="18">
        <v>5</v>
      </c>
      <c r="E151" s="18">
        <v>3</v>
      </c>
      <c r="F151" s="18">
        <v>3</v>
      </c>
      <c r="G151" s="18">
        <v>5</v>
      </c>
      <c r="H151" s="18">
        <v>2</v>
      </c>
      <c r="I151" s="18">
        <v>3</v>
      </c>
      <c r="J151" s="18">
        <v>2</v>
      </c>
      <c r="K151" s="18">
        <v>20</v>
      </c>
      <c r="L151" s="18">
        <v>0</v>
      </c>
      <c r="M151" s="18">
        <v>8</v>
      </c>
      <c r="N151" s="18">
        <v>0</v>
      </c>
      <c r="O151" s="18">
        <v>5</v>
      </c>
      <c r="P151" s="18">
        <v>3</v>
      </c>
      <c r="Q151" s="18">
        <v>2</v>
      </c>
      <c r="R151" s="18">
        <v>2</v>
      </c>
      <c r="S151" s="18">
        <v>20</v>
      </c>
      <c r="T151" s="18">
        <v>15</v>
      </c>
      <c r="U151" s="18">
        <v>2</v>
      </c>
      <c r="V151" s="19">
        <f t="shared" si="2"/>
        <v>100</v>
      </c>
    </row>
    <row r="152" spans="1:22" ht="15" customHeight="1">
      <c r="A152" s="6" t="s">
        <v>569</v>
      </c>
      <c r="B152" s="7" t="s">
        <v>570</v>
      </c>
      <c r="C152" s="7" t="s">
        <v>568</v>
      </c>
      <c r="D152" s="18">
        <v>5</v>
      </c>
      <c r="E152" s="18">
        <v>3</v>
      </c>
      <c r="F152" s="18">
        <v>3</v>
      </c>
      <c r="G152" s="18">
        <v>5</v>
      </c>
      <c r="H152" s="18">
        <v>3</v>
      </c>
      <c r="I152" s="18">
        <v>8</v>
      </c>
      <c r="J152" s="18">
        <v>2</v>
      </c>
      <c r="K152" s="18">
        <v>10</v>
      </c>
      <c r="L152" s="18">
        <v>0</v>
      </c>
      <c r="M152" s="18">
        <v>10</v>
      </c>
      <c r="N152" s="18">
        <v>0</v>
      </c>
      <c r="O152" s="18">
        <v>5</v>
      </c>
      <c r="P152" s="18">
        <v>1</v>
      </c>
      <c r="Q152" s="18">
        <v>3</v>
      </c>
      <c r="R152" s="18">
        <v>2</v>
      </c>
      <c r="S152" s="18">
        <v>12</v>
      </c>
      <c r="T152" s="18">
        <v>25</v>
      </c>
      <c r="U152" s="18">
        <v>3</v>
      </c>
      <c r="V152" s="19">
        <f t="shared" si="2"/>
        <v>100</v>
      </c>
    </row>
    <row r="153" spans="1:22" ht="15" customHeight="1">
      <c r="A153" s="6" t="s">
        <v>571</v>
      </c>
      <c r="B153" s="7" t="s">
        <v>572</v>
      </c>
      <c r="C153" s="7" t="s">
        <v>568</v>
      </c>
      <c r="D153" s="18">
        <v>5</v>
      </c>
      <c r="E153" s="18">
        <v>3</v>
      </c>
      <c r="F153" s="18">
        <v>3</v>
      </c>
      <c r="G153" s="18">
        <v>3</v>
      </c>
      <c r="H153" s="18">
        <v>3</v>
      </c>
      <c r="I153" s="18">
        <v>5</v>
      </c>
      <c r="J153" s="18">
        <v>3</v>
      </c>
      <c r="K153" s="18">
        <v>5</v>
      </c>
      <c r="L153" s="18">
        <v>0</v>
      </c>
      <c r="M153" s="18">
        <v>10</v>
      </c>
      <c r="N153" s="18">
        <v>0</v>
      </c>
      <c r="O153" s="18">
        <v>5</v>
      </c>
      <c r="P153" s="18">
        <v>1</v>
      </c>
      <c r="Q153" s="18">
        <v>3</v>
      </c>
      <c r="R153" s="18">
        <v>2</v>
      </c>
      <c r="S153" s="18">
        <v>10</v>
      </c>
      <c r="T153" s="18">
        <v>35</v>
      </c>
      <c r="U153" s="18">
        <v>4</v>
      </c>
      <c r="V153" s="19">
        <f t="shared" si="2"/>
        <v>100</v>
      </c>
    </row>
    <row r="154" spans="1:22" ht="15" customHeight="1">
      <c r="A154" s="6" t="s">
        <v>573</v>
      </c>
      <c r="B154" s="7" t="s">
        <v>574</v>
      </c>
      <c r="C154" s="7" t="s">
        <v>568</v>
      </c>
      <c r="D154" s="18">
        <v>3</v>
      </c>
      <c r="E154" s="18">
        <v>3</v>
      </c>
      <c r="F154" s="18">
        <v>5</v>
      </c>
      <c r="G154" s="18">
        <v>5</v>
      </c>
      <c r="H154" s="18">
        <v>2</v>
      </c>
      <c r="I154" s="18">
        <v>3</v>
      </c>
      <c r="J154" s="18">
        <v>3</v>
      </c>
      <c r="K154" s="18">
        <v>15</v>
      </c>
      <c r="L154" s="18">
        <v>0</v>
      </c>
      <c r="M154" s="18">
        <v>5</v>
      </c>
      <c r="N154" s="18">
        <v>0</v>
      </c>
      <c r="O154" s="18">
        <v>8</v>
      </c>
      <c r="P154" s="18">
        <v>3</v>
      </c>
      <c r="Q154" s="18">
        <v>5</v>
      </c>
      <c r="R154" s="18">
        <v>2</v>
      </c>
      <c r="S154" s="18">
        <v>25</v>
      </c>
      <c r="T154" s="18">
        <v>10</v>
      </c>
      <c r="U154" s="18">
        <v>3</v>
      </c>
      <c r="V154" s="19">
        <f t="shared" si="2"/>
        <v>100</v>
      </c>
    </row>
    <row r="155" spans="1:22" ht="15" customHeight="1">
      <c r="A155" s="6" t="s">
        <v>575</v>
      </c>
      <c r="B155" s="7" t="s">
        <v>576</v>
      </c>
      <c r="C155" s="7" t="s">
        <v>568</v>
      </c>
      <c r="D155" s="18">
        <v>5</v>
      </c>
      <c r="E155" s="18">
        <v>3</v>
      </c>
      <c r="F155" s="18">
        <v>5</v>
      </c>
      <c r="G155" s="18">
        <v>5</v>
      </c>
      <c r="H155" s="18">
        <v>3</v>
      </c>
      <c r="I155" s="18">
        <v>5</v>
      </c>
      <c r="J155" s="18">
        <v>5</v>
      </c>
      <c r="K155" s="18">
        <v>10</v>
      </c>
      <c r="L155" s="18">
        <v>0</v>
      </c>
      <c r="M155" s="18">
        <v>8</v>
      </c>
      <c r="N155" s="18">
        <v>0</v>
      </c>
      <c r="O155" s="18">
        <v>5</v>
      </c>
      <c r="P155" s="18">
        <v>2</v>
      </c>
      <c r="Q155" s="18">
        <v>5</v>
      </c>
      <c r="R155" s="18">
        <v>3</v>
      </c>
      <c r="S155" s="18">
        <v>20</v>
      </c>
      <c r="T155" s="18">
        <v>10</v>
      </c>
      <c r="U155" s="18">
        <v>6</v>
      </c>
      <c r="V155" s="19">
        <f t="shared" si="2"/>
        <v>100</v>
      </c>
    </row>
    <row r="156" spans="1:22" ht="15" customHeight="1">
      <c r="A156" s="6" t="s">
        <v>577</v>
      </c>
      <c r="B156" s="7" t="s">
        <v>578</v>
      </c>
      <c r="C156" s="7" t="s">
        <v>568</v>
      </c>
      <c r="D156" s="18">
        <v>5</v>
      </c>
      <c r="E156" s="18">
        <v>5</v>
      </c>
      <c r="F156" s="18">
        <v>5</v>
      </c>
      <c r="G156" s="18">
        <v>5</v>
      </c>
      <c r="H156" s="18">
        <v>2</v>
      </c>
      <c r="I156" s="18">
        <v>3</v>
      </c>
      <c r="J156" s="18">
        <v>5</v>
      </c>
      <c r="K156" s="18">
        <v>15</v>
      </c>
      <c r="L156" s="18">
        <v>0</v>
      </c>
      <c r="M156" s="18">
        <v>2</v>
      </c>
      <c r="N156" s="18">
        <v>2</v>
      </c>
      <c r="O156" s="18">
        <v>5</v>
      </c>
      <c r="P156" s="18">
        <v>3</v>
      </c>
      <c r="Q156" s="18">
        <v>15</v>
      </c>
      <c r="R156" s="18">
        <v>5</v>
      </c>
      <c r="S156" s="18">
        <v>18</v>
      </c>
      <c r="T156" s="18">
        <v>3</v>
      </c>
      <c r="U156" s="18">
        <v>2</v>
      </c>
      <c r="V156" s="19">
        <f t="shared" si="2"/>
        <v>100</v>
      </c>
    </row>
    <row r="157" spans="1:22" ht="15" customHeight="1">
      <c r="A157" s="6" t="s">
        <v>579</v>
      </c>
      <c r="B157" s="7" t="s">
        <v>580</v>
      </c>
      <c r="C157" s="7" t="s">
        <v>568</v>
      </c>
      <c r="D157" s="18">
        <v>5</v>
      </c>
      <c r="E157" s="18">
        <v>5</v>
      </c>
      <c r="F157" s="18">
        <v>3</v>
      </c>
      <c r="G157" s="18">
        <v>5</v>
      </c>
      <c r="H157" s="18">
        <v>2</v>
      </c>
      <c r="I157" s="18">
        <v>3</v>
      </c>
      <c r="J157" s="18">
        <v>5</v>
      </c>
      <c r="K157" s="18">
        <v>10</v>
      </c>
      <c r="L157" s="18">
        <v>0</v>
      </c>
      <c r="M157" s="18">
        <v>2</v>
      </c>
      <c r="N157" s="18">
        <v>1</v>
      </c>
      <c r="O157" s="18">
        <v>5</v>
      </c>
      <c r="P157" s="18">
        <v>2</v>
      </c>
      <c r="Q157" s="18">
        <v>15</v>
      </c>
      <c r="R157" s="18">
        <v>5</v>
      </c>
      <c r="S157" s="18">
        <v>25</v>
      </c>
      <c r="T157" s="18">
        <v>5</v>
      </c>
      <c r="U157" s="18">
        <v>2</v>
      </c>
      <c r="V157" s="19">
        <f t="shared" si="2"/>
        <v>100</v>
      </c>
    </row>
    <row r="158" spans="1:22" ht="15" customHeight="1">
      <c r="A158" s="6" t="s">
        <v>581</v>
      </c>
      <c r="B158" s="7" t="s">
        <v>582</v>
      </c>
      <c r="C158" s="7" t="s">
        <v>568</v>
      </c>
      <c r="D158" s="18">
        <v>5</v>
      </c>
      <c r="E158" s="18">
        <v>5</v>
      </c>
      <c r="F158" s="18">
        <v>5</v>
      </c>
      <c r="G158" s="18">
        <v>5</v>
      </c>
      <c r="H158" s="18">
        <v>3</v>
      </c>
      <c r="I158" s="18">
        <v>5</v>
      </c>
      <c r="J158" s="18">
        <v>8</v>
      </c>
      <c r="K158" s="18">
        <v>15</v>
      </c>
      <c r="L158" s="18">
        <v>0</v>
      </c>
      <c r="M158" s="18">
        <v>3</v>
      </c>
      <c r="N158" s="18">
        <v>0</v>
      </c>
      <c r="O158" s="18">
        <v>8</v>
      </c>
      <c r="P158" s="18">
        <v>5</v>
      </c>
      <c r="Q158" s="18">
        <v>2</v>
      </c>
      <c r="R158" s="18">
        <v>5</v>
      </c>
      <c r="S158" s="18">
        <v>10</v>
      </c>
      <c r="T158" s="18">
        <v>10</v>
      </c>
      <c r="U158" s="18">
        <v>6</v>
      </c>
      <c r="V158" s="19">
        <f t="shared" si="2"/>
        <v>100</v>
      </c>
    </row>
    <row r="159" spans="1:22" ht="15" customHeight="1">
      <c r="A159" s="6" t="s">
        <v>583</v>
      </c>
      <c r="B159" s="7" t="s">
        <v>584</v>
      </c>
      <c r="C159" s="7" t="s">
        <v>568</v>
      </c>
      <c r="D159" s="18">
        <v>3</v>
      </c>
      <c r="E159" s="18">
        <v>3</v>
      </c>
      <c r="F159" s="18">
        <v>5</v>
      </c>
      <c r="G159" s="18">
        <v>5</v>
      </c>
      <c r="H159" s="18">
        <v>1</v>
      </c>
      <c r="I159" s="18">
        <v>2</v>
      </c>
      <c r="J159" s="18">
        <v>5</v>
      </c>
      <c r="K159" s="18">
        <v>20</v>
      </c>
      <c r="L159" s="18">
        <v>0</v>
      </c>
      <c r="M159" s="18">
        <v>3</v>
      </c>
      <c r="N159" s="18">
        <v>0</v>
      </c>
      <c r="O159" s="18">
        <v>10</v>
      </c>
      <c r="P159" s="18">
        <v>2</v>
      </c>
      <c r="Q159" s="18">
        <v>5</v>
      </c>
      <c r="R159" s="18">
        <v>2</v>
      </c>
      <c r="S159" s="18">
        <v>30</v>
      </c>
      <c r="T159" s="18">
        <v>2</v>
      </c>
      <c r="U159" s="18">
        <v>2</v>
      </c>
      <c r="V159" s="19">
        <f t="shared" si="2"/>
        <v>100</v>
      </c>
    </row>
    <row r="160" spans="1:22" ht="15" customHeight="1">
      <c r="A160" s="6" t="s">
        <v>585</v>
      </c>
      <c r="B160" s="7" t="s">
        <v>586</v>
      </c>
      <c r="C160" s="7" t="s">
        <v>568</v>
      </c>
      <c r="D160" s="18">
        <v>5</v>
      </c>
      <c r="E160" s="18">
        <v>5</v>
      </c>
      <c r="F160" s="18">
        <v>5</v>
      </c>
      <c r="G160" s="18">
        <v>5</v>
      </c>
      <c r="H160" s="18">
        <v>3</v>
      </c>
      <c r="I160" s="18">
        <v>5</v>
      </c>
      <c r="J160" s="18">
        <v>8</v>
      </c>
      <c r="K160" s="18">
        <v>12</v>
      </c>
      <c r="L160" s="18">
        <v>0</v>
      </c>
      <c r="M160" s="18">
        <v>3</v>
      </c>
      <c r="N160" s="18">
        <v>0</v>
      </c>
      <c r="O160" s="18">
        <v>8</v>
      </c>
      <c r="P160" s="18">
        <v>5</v>
      </c>
      <c r="Q160" s="18">
        <v>3</v>
      </c>
      <c r="R160" s="18">
        <v>5</v>
      </c>
      <c r="S160" s="18">
        <v>15</v>
      </c>
      <c r="T160" s="18">
        <v>8</v>
      </c>
      <c r="U160" s="18">
        <v>5</v>
      </c>
      <c r="V160" s="19">
        <f t="shared" si="2"/>
        <v>100</v>
      </c>
    </row>
    <row r="161" spans="1:22" ht="15" customHeight="1">
      <c r="A161" s="6" t="s">
        <v>587</v>
      </c>
      <c r="B161" s="7" t="s">
        <v>588</v>
      </c>
      <c r="C161" s="7" t="s">
        <v>568</v>
      </c>
      <c r="D161" s="18">
        <v>5</v>
      </c>
      <c r="E161" s="18">
        <v>5</v>
      </c>
      <c r="F161" s="18">
        <v>3</v>
      </c>
      <c r="G161" s="18">
        <v>5</v>
      </c>
      <c r="H161" s="18">
        <v>2</v>
      </c>
      <c r="I161" s="18">
        <v>3</v>
      </c>
      <c r="J161" s="18">
        <v>5</v>
      </c>
      <c r="K161" s="18">
        <v>8</v>
      </c>
      <c r="L161" s="18">
        <v>0</v>
      </c>
      <c r="M161" s="18">
        <v>2</v>
      </c>
      <c r="N161" s="18">
        <v>2</v>
      </c>
      <c r="O161" s="18">
        <v>3</v>
      </c>
      <c r="P161" s="18">
        <v>1</v>
      </c>
      <c r="Q161" s="18">
        <v>35</v>
      </c>
      <c r="R161" s="18">
        <v>5</v>
      </c>
      <c r="S161" s="18">
        <v>10</v>
      </c>
      <c r="T161" s="18">
        <v>3</v>
      </c>
      <c r="U161" s="18">
        <v>3</v>
      </c>
      <c r="V161" s="19">
        <f t="shared" si="2"/>
        <v>100</v>
      </c>
    </row>
    <row r="162" spans="1:22" ht="15" customHeight="1">
      <c r="A162" s="6" t="s">
        <v>589</v>
      </c>
      <c r="B162" s="7" t="s">
        <v>590</v>
      </c>
      <c r="C162" s="7" t="s">
        <v>568</v>
      </c>
      <c r="D162" s="18">
        <v>3</v>
      </c>
      <c r="E162" s="18">
        <v>3</v>
      </c>
      <c r="F162" s="18">
        <v>2</v>
      </c>
      <c r="G162" s="18">
        <v>3</v>
      </c>
      <c r="H162" s="18">
        <v>1</v>
      </c>
      <c r="I162" s="18">
        <v>2</v>
      </c>
      <c r="J162" s="18">
        <v>3</v>
      </c>
      <c r="K162" s="18">
        <v>8</v>
      </c>
      <c r="L162" s="18">
        <v>0</v>
      </c>
      <c r="M162" s="18">
        <v>1</v>
      </c>
      <c r="N162" s="18">
        <v>2</v>
      </c>
      <c r="O162" s="18">
        <v>3</v>
      </c>
      <c r="P162" s="18">
        <v>1</v>
      </c>
      <c r="Q162" s="18">
        <v>20</v>
      </c>
      <c r="R162" s="18">
        <v>3</v>
      </c>
      <c r="S162" s="18">
        <v>35</v>
      </c>
      <c r="T162" s="18">
        <v>5</v>
      </c>
      <c r="U162" s="18">
        <v>5</v>
      </c>
      <c r="V162" s="19">
        <f t="shared" si="2"/>
        <v>100</v>
      </c>
    </row>
    <row r="163" spans="1:22" ht="15" customHeight="1">
      <c r="A163" s="6" t="s">
        <v>591</v>
      </c>
      <c r="B163" s="7" t="s">
        <v>592</v>
      </c>
      <c r="C163" s="7" t="s">
        <v>568</v>
      </c>
      <c r="D163" s="18">
        <v>5</v>
      </c>
      <c r="E163" s="18">
        <v>3</v>
      </c>
      <c r="F163" s="18">
        <v>3</v>
      </c>
      <c r="G163" s="18">
        <v>3</v>
      </c>
      <c r="H163" s="18">
        <v>2</v>
      </c>
      <c r="I163" s="18">
        <v>3</v>
      </c>
      <c r="J163" s="18">
        <v>2</v>
      </c>
      <c r="K163" s="18">
        <v>8</v>
      </c>
      <c r="L163" s="18">
        <v>0</v>
      </c>
      <c r="M163" s="18">
        <v>8</v>
      </c>
      <c r="N163" s="18">
        <v>0</v>
      </c>
      <c r="O163" s="18">
        <v>5</v>
      </c>
      <c r="P163" s="18">
        <v>1</v>
      </c>
      <c r="Q163" s="18">
        <v>3</v>
      </c>
      <c r="R163" s="18">
        <v>2</v>
      </c>
      <c r="S163" s="18">
        <v>30</v>
      </c>
      <c r="T163" s="18">
        <v>20</v>
      </c>
      <c r="U163" s="18">
        <v>2</v>
      </c>
      <c r="V163" s="19">
        <f t="shared" si="2"/>
        <v>100</v>
      </c>
    </row>
    <row r="164" spans="1:22" ht="15" customHeight="1">
      <c r="A164" s="6" t="s">
        <v>593</v>
      </c>
      <c r="B164" s="7" t="s">
        <v>594</v>
      </c>
      <c r="C164" s="7" t="s">
        <v>595</v>
      </c>
      <c r="D164" s="18">
        <v>3</v>
      </c>
      <c r="E164" s="18">
        <v>3</v>
      </c>
      <c r="F164" s="18">
        <v>3</v>
      </c>
      <c r="G164" s="18">
        <v>5</v>
      </c>
      <c r="H164" s="18">
        <v>2</v>
      </c>
      <c r="I164" s="18">
        <v>3</v>
      </c>
      <c r="J164" s="18">
        <v>3</v>
      </c>
      <c r="K164" s="18">
        <v>5</v>
      </c>
      <c r="L164" s="18">
        <v>0</v>
      </c>
      <c r="M164" s="18">
        <v>5</v>
      </c>
      <c r="N164" s="18">
        <v>0</v>
      </c>
      <c r="O164" s="18">
        <v>10</v>
      </c>
      <c r="P164" s="18">
        <v>3</v>
      </c>
      <c r="Q164" s="18">
        <v>8</v>
      </c>
      <c r="R164" s="18">
        <v>8</v>
      </c>
      <c r="S164" s="18">
        <v>0</v>
      </c>
      <c r="T164" s="18">
        <v>20</v>
      </c>
      <c r="U164" s="18">
        <v>19</v>
      </c>
      <c r="V164" s="19">
        <f t="shared" si="2"/>
        <v>100</v>
      </c>
    </row>
    <row r="165" spans="1:22" ht="15" customHeight="1">
      <c r="A165" s="6" t="s">
        <v>596</v>
      </c>
      <c r="B165" s="7" t="s">
        <v>597</v>
      </c>
      <c r="C165" s="7" t="s">
        <v>595</v>
      </c>
      <c r="D165" s="18">
        <v>5</v>
      </c>
      <c r="E165" s="18">
        <v>5</v>
      </c>
      <c r="F165" s="18">
        <v>5</v>
      </c>
      <c r="G165" s="18">
        <v>5</v>
      </c>
      <c r="H165" s="18">
        <v>3</v>
      </c>
      <c r="I165" s="18">
        <v>8</v>
      </c>
      <c r="J165" s="18">
        <v>8</v>
      </c>
      <c r="K165" s="18">
        <v>10</v>
      </c>
      <c r="L165" s="18">
        <v>0</v>
      </c>
      <c r="M165" s="18">
        <v>5</v>
      </c>
      <c r="N165" s="18">
        <v>0</v>
      </c>
      <c r="O165" s="18">
        <v>10</v>
      </c>
      <c r="P165" s="18">
        <v>5</v>
      </c>
      <c r="Q165" s="18">
        <v>3</v>
      </c>
      <c r="R165" s="18">
        <v>5</v>
      </c>
      <c r="S165" s="18">
        <v>2</v>
      </c>
      <c r="T165" s="18">
        <v>10</v>
      </c>
      <c r="U165" s="18">
        <v>11</v>
      </c>
      <c r="V165" s="19">
        <f t="shared" si="2"/>
        <v>100</v>
      </c>
    </row>
    <row r="166" spans="1:22" ht="15" customHeight="1">
      <c r="A166" s="6" t="s">
        <v>598</v>
      </c>
      <c r="B166" s="7" t="s">
        <v>599</v>
      </c>
      <c r="C166" s="7" t="s">
        <v>595</v>
      </c>
      <c r="D166" s="18">
        <v>3</v>
      </c>
      <c r="E166" s="18">
        <v>3</v>
      </c>
      <c r="F166" s="18">
        <v>3</v>
      </c>
      <c r="G166" s="18">
        <v>5</v>
      </c>
      <c r="H166" s="18">
        <v>2</v>
      </c>
      <c r="I166" s="18">
        <v>3</v>
      </c>
      <c r="J166" s="18">
        <v>5</v>
      </c>
      <c r="K166" s="18">
        <v>5</v>
      </c>
      <c r="L166" s="18">
        <v>0</v>
      </c>
      <c r="M166" s="18">
        <v>5</v>
      </c>
      <c r="N166" s="18">
        <v>0</v>
      </c>
      <c r="O166" s="18">
        <v>10</v>
      </c>
      <c r="P166" s="18">
        <v>2</v>
      </c>
      <c r="Q166" s="18">
        <v>5</v>
      </c>
      <c r="R166" s="18">
        <v>8</v>
      </c>
      <c r="S166" s="18">
        <v>5</v>
      </c>
      <c r="T166" s="18">
        <v>18</v>
      </c>
      <c r="U166" s="18">
        <v>18</v>
      </c>
      <c r="V166" s="19">
        <f t="shared" si="2"/>
        <v>100</v>
      </c>
    </row>
    <row r="167" spans="1:22" ht="15" customHeight="1">
      <c r="A167" s="6" t="s">
        <v>600</v>
      </c>
      <c r="B167" s="7" t="s">
        <v>601</v>
      </c>
      <c r="C167" s="7" t="s">
        <v>595</v>
      </c>
      <c r="D167" s="18">
        <v>5</v>
      </c>
      <c r="E167" s="18">
        <v>5</v>
      </c>
      <c r="F167" s="18">
        <v>3</v>
      </c>
      <c r="G167" s="18">
        <v>5</v>
      </c>
      <c r="H167" s="18">
        <v>2</v>
      </c>
      <c r="I167" s="18">
        <v>5</v>
      </c>
      <c r="J167" s="18">
        <v>3</v>
      </c>
      <c r="K167" s="18">
        <v>10</v>
      </c>
      <c r="L167" s="18">
        <v>0</v>
      </c>
      <c r="M167" s="18">
        <v>2</v>
      </c>
      <c r="N167" s="18">
        <v>0</v>
      </c>
      <c r="O167" s="18">
        <v>8</v>
      </c>
      <c r="P167" s="18">
        <v>3</v>
      </c>
      <c r="Q167" s="18">
        <v>3</v>
      </c>
      <c r="R167" s="18">
        <v>5</v>
      </c>
      <c r="S167" s="18">
        <v>12</v>
      </c>
      <c r="T167" s="18">
        <v>15</v>
      </c>
      <c r="U167" s="18">
        <v>14</v>
      </c>
      <c r="V167" s="19">
        <f t="shared" si="2"/>
        <v>100</v>
      </c>
    </row>
    <row r="168" spans="1:22" ht="15" customHeight="1">
      <c r="A168" s="6" t="s">
        <v>602</v>
      </c>
      <c r="B168" s="7" t="s">
        <v>603</v>
      </c>
      <c r="C168" s="7" t="s">
        <v>595</v>
      </c>
      <c r="D168" s="18">
        <v>5</v>
      </c>
      <c r="E168" s="18">
        <v>5</v>
      </c>
      <c r="F168" s="18">
        <v>5</v>
      </c>
      <c r="G168" s="18">
        <v>5</v>
      </c>
      <c r="H168" s="18">
        <v>3</v>
      </c>
      <c r="I168" s="18">
        <v>5</v>
      </c>
      <c r="J168" s="18">
        <v>5</v>
      </c>
      <c r="K168" s="18">
        <v>8</v>
      </c>
      <c r="L168" s="18">
        <v>0</v>
      </c>
      <c r="M168" s="18">
        <v>5</v>
      </c>
      <c r="N168" s="18">
        <v>0</v>
      </c>
      <c r="O168" s="18">
        <v>10</v>
      </c>
      <c r="P168" s="18">
        <v>5</v>
      </c>
      <c r="Q168" s="18">
        <v>5</v>
      </c>
      <c r="R168" s="18">
        <v>8</v>
      </c>
      <c r="S168" s="18">
        <v>0</v>
      </c>
      <c r="T168" s="18">
        <v>13</v>
      </c>
      <c r="U168" s="18">
        <v>13</v>
      </c>
      <c r="V168" s="19">
        <f t="shared" si="2"/>
        <v>100</v>
      </c>
    </row>
    <row r="169" spans="1:22" ht="15" customHeight="1">
      <c r="A169" s="6" t="s">
        <v>604</v>
      </c>
      <c r="B169" s="7" t="s">
        <v>605</v>
      </c>
      <c r="C169" s="7" t="s">
        <v>606</v>
      </c>
      <c r="D169" s="18">
        <v>1</v>
      </c>
      <c r="E169" s="18">
        <v>1</v>
      </c>
      <c r="F169" s="18">
        <v>5</v>
      </c>
      <c r="G169" s="18">
        <v>2</v>
      </c>
      <c r="H169" s="18">
        <v>1</v>
      </c>
      <c r="I169" s="18">
        <v>1</v>
      </c>
      <c r="J169" s="18">
        <v>3</v>
      </c>
      <c r="K169" s="18">
        <v>5</v>
      </c>
      <c r="L169" s="18">
        <v>0</v>
      </c>
      <c r="M169" s="18">
        <v>3</v>
      </c>
      <c r="N169" s="18">
        <v>50</v>
      </c>
      <c r="O169" s="18">
        <v>3</v>
      </c>
      <c r="P169" s="18">
        <v>3</v>
      </c>
      <c r="Q169" s="18">
        <v>5</v>
      </c>
      <c r="R169" s="18">
        <v>2</v>
      </c>
      <c r="S169" s="18">
        <v>0</v>
      </c>
      <c r="T169" s="18">
        <v>10</v>
      </c>
      <c r="U169" s="18">
        <v>5</v>
      </c>
      <c r="V169" s="19">
        <f t="shared" si="2"/>
        <v>100</v>
      </c>
    </row>
    <row r="170" spans="1:22" ht="15" customHeight="1">
      <c r="A170" s="6" t="s">
        <v>607</v>
      </c>
      <c r="B170" s="7" t="s">
        <v>608</v>
      </c>
      <c r="C170" s="7" t="s">
        <v>606</v>
      </c>
      <c r="D170" s="18">
        <v>2</v>
      </c>
      <c r="E170" s="18">
        <v>5</v>
      </c>
      <c r="F170" s="18">
        <v>15</v>
      </c>
      <c r="G170" s="18">
        <v>3</v>
      </c>
      <c r="H170" s="18">
        <v>1</v>
      </c>
      <c r="I170" s="18">
        <v>2</v>
      </c>
      <c r="J170" s="18">
        <v>40</v>
      </c>
      <c r="K170" s="18">
        <v>3</v>
      </c>
      <c r="L170" s="18">
        <v>10</v>
      </c>
      <c r="M170" s="18">
        <v>2</v>
      </c>
      <c r="N170" s="18">
        <v>2</v>
      </c>
      <c r="O170" s="18">
        <v>3</v>
      </c>
      <c r="P170" s="18">
        <v>2</v>
      </c>
      <c r="Q170" s="18">
        <v>3</v>
      </c>
      <c r="R170" s="18">
        <v>2</v>
      </c>
      <c r="S170" s="18">
        <v>0</v>
      </c>
      <c r="T170" s="18">
        <v>3</v>
      </c>
      <c r="U170" s="18">
        <v>2</v>
      </c>
      <c r="V170" s="19">
        <f t="shared" si="2"/>
        <v>100</v>
      </c>
    </row>
    <row r="171" spans="1:22" ht="15" customHeight="1">
      <c r="A171" s="6" t="s">
        <v>609</v>
      </c>
      <c r="B171" s="7" t="s">
        <v>610</v>
      </c>
      <c r="C171" s="7" t="s">
        <v>606</v>
      </c>
      <c r="D171" s="18">
        <v>1</v>
      </c>
      <c r="E171" s="18">
        <v>2</v>
      </c>
      <c r="F171" s="18">
        <v>5</v>
      </c>
      <c r="G171" s="18">
        <v>5</v>
      </c>
      <c r="H171" s="18">
        <v>1</v>
      </c>
      <c r="I171" s="18">
        <v>1</v>
      </c>
      <c r="J171" s="18">
        <v>5</v>
      </c>
      <c r="K171" s="18">
        <v>10</v>
      </c>
      <c r="L171" s="18">
        <v>0</v>
      </c>
      <c r="M171" s="18">
        <v>2</v>
      </c>
      <c r="N171" s="18">
        <v>5</v>
      </c>
      <c r="O171" s="18">
        <v>3</v>
      </c>
      <c r="P171" s="18">
        <v>5</v>
      </c>
      <c r="Q171" s="18">
        <v>3</v>
      </c>
      <c r="R171" s="18">
        <v>2</v>
      </c>
      <c r="S171" s="18">
        <v>0</v>
      </c>
      <c r="T171" s="18">
        <v>39</v>
      </c>
      <c r="U171" s="18">
        <v>11</v>
      </c>
      <c r="V171" s="19">
        <f t="shared" si="2"/>
        <v>100</v>
      </c>
    </row>
    <row r="172" spans="1:22" ht="15" customHeight="1">
      <c r="A172" s="6" t="s">
        <v>611</v>
      </c>
      <c r="B172" s="7" t="s">
        <v>612</v>
      </c>
      <c r="C172" s="7" t="s">
        <v>606</v>
      </c>
      <c r="D172" s="18">
        <v>1</v>
      </c>
      <c r="E172" s="18">
        <v>1</v>
      </c>
      <c r="F172" s="18">
        <v>3</v>
      </c>
      <c r="G172" s="18">
        <v>5</v>
      </c>
      <c r="H172" s="18">
        <v>1</v>
      </c>
      <c r="I172" s="18">
        <v>1</v>
      </c>
      <c r="J172" s="18">
        <v>3</v>
      </c>
      <c r="K172" s="18">
        <v>3</v>
      </c>
      <c r="L172" s="18">
        <v>0</v>
      </c>
      <c r="M172" s="18">
        <v>2</v>
      </c>
      <c r="N172" s="18">
        <v>5</v>
      </c>
      <c r="O172" s="18">
        <v>3</v>
      </c>
      <c r="P172" s="18">
        <v>3</v>
      </c>
      <c r="Q172" s="18">
        <v>5</v>
      </c>
      <c r="R172" s="18">
        <v>3</v>
      </c>
      <c r="S172" s="18">
        <v>0</v>
      </c>
      <c r="T172" s="18">
        <v>44</v>
      </c>
      <c r="U172" s="18">
        <v>17</v>
      </c>
      <c r="V172" s="19">
        <f t="shared" si="2"/>
        <v>100</v>
      </c>
    </row>
    <row r="173" spans="1:22" ht="15" customHeight="1">
      <c r="A173" s="6" t="s">
        <v>613</v>
      </c>
      <c r="B173" s="7" t="s">
        <v>614</v>
      </c>
      <c r="C173" s="7" t="s">
        <v>606</v>
      </c>
      <c r="D173" s="18">
        <v>1</v>
      </c>
      <c r="E173" s="18">
        <v>1</v>
      </c>
      <c r="F173" s="18">
        <v>5</v>
      </c>
      <c r="G173" s="18">
        <v>5</v>
      </c>
      <c r="H173" s="18">
        <v>1</v>
      </c>
      <c r="I173" s="18">
        <v>1</v>
      </c>
      <c r="J173" s="18">
        <v>3</v>
      </c>
      <c r="K173" s="18">
        <v>5</v>
      </c>
      <c r="L173" s="18">
        <v>0</v>
      </c>
      <c r="M173" s="18">
        <v>3</v>
      </c>
      <c r="N173" s="18">
        <v>5</v>
      </c>
      <c r="O173" s="18">
        <v>3</v>
      </c>
      <c r="P173" s="18">
        <v>3</v>
      </c>
      <c r="Q173" s="18">
        <v>5</v>
      </c>
      <c r="R173" s="18">
        <v>3</v>
      </c>
      <c r="S173" s="18">
        <v>0</v>
      </c>
      <c r="T173" s="18">
        <v>45</v>
      </c>
      <c r="U173" s="18">
        <v>11</v>
      </c>
      <c r="V173" s="19">
        <f t="shared" si="2"/>
        <v>100</v>
      </c>
    </row>
    <row r="174" spans="1:22" ht="15" customHeight="1">
      <c r="A174" s="6" t="s">
        <v>615</v>
      </c>
      <c r="B174" s="7" t="s">
        <v>616</v>
      </c>
      <c r="C174" s="7" t="s">
        <v>606</v>
      </c>
      <c r="D174" s="18">
        <v>3</v>
      </c>
      <c r="E174" s="18">
        <v>5</v>
      </c>
      <c r="F174" s="18">
        <v>5</v>
      </c>
      <c r="G174" s="18">
        <v>8</v>
      </c>
      <c r="H174" s="18">
        <v>5</v>
      </c>
      <c r="I174" s="18">
        <v>3</v>
      </c>
      <c r="J174" s="18">
        <v>10</v>
      </c>
      <c r="K174" s="18">
        <v>8</v>
      </c>
      <c r="L174" s="18">
        <v>0</v>
      </c>
      <c r="M174" s="18">
        <v>3</v>
      </c>
      <c r="N174" s="18">
        <v>8</v>
      </c>
      <c r="O174" s="18">
        <v>12</v>
      </c>
      <c r="P174" s="18">
        <v>8</v>
      </c>
      <c r="Q174" s="18">
        <v>3</v>
      </c>
      <c r="R174" s="18">
        <v>10</v>
      </c>
      <c r="S174" s="18">
        <v>0</v>
      </c>
      <c r="T174" s="18">
        <v>5</v>
      </c>
      <c r="U174" s="18">
        <v>4</v>
      </c>
      <c r="V174" s="19">
        <f t="shared" si="2"/>
        <v>100</v>
      </c>
    </row>
    <row r="175" spans="1:22" ht="15" customHeight="1">
      <c r="A175" s="6" t="s">
        <v>617</v>
      </c>
      <c r="B175" s="7" t="s">
        <v>618</v>
      </c>
      <c r="C175" s="7" t="s">
        <v>606</v>
      </c>
      <c r="D175" s="18">
        <v>2</v>
      </c>
      <c r="E175" s="18">
        <v>2</v>
      </c>
      <c r="F175" s="18">
        <v>3</v>
      </c>
      <c r="G175" s="18">
        <v>5</v>
      </c>
      <c r="H175" s="18">
        <v>2</v>
      </c>
      <c r="I175" s="18">
        <v>2</v>
      </c>
      <c r="J175" s="18">
        <v>3</v>
      </c>
      <c r="K175" s="18">
        <v>8</v>
      </c>
      <c r="L175" s="18">
        <v>0</v>
      </c>
      <c r="M175" s="18">
        <v>15</v>
      </c>
      <c r="N175" s="18">
        <v>15</v>
      </c>
      <c r="O175" s="18">
        <v>3</v>
      </c>
      <c r="P175" s="18">
        <v>3</v>
      </c>
      <c r="Q175" s="18">
        <v>2</v>
      </c>
      <c r="R175" s="18">
        <v>2</v>
      </c>
      <c r="S175" s="18">
        <v>0</v>
      </c>
      <c r="T175" s="18">
        <v>30</v>
      </c>
      <c r="U175" s="18">
        <v>3</v>
      </c>
      <c r="V175" s="19">
        <f t="shared" si="2"/>
        <v>100</v>
      </c>
    </row>
    <row r="176" spans="1:22" ht="15" customHeight="1">
      <c r="A176" s="6" t="s">
        <v>619</v>
      </c>
      <c r="B176" s="7" t="s">
        <v>620</v>
      </c>
      <c r="C176" s="7" t="s">
        <v>606</v>
      </c>
      <c r="D176" s="18">
        <v>2</v>
      </c>
      <c r="E176" s="18">
        <v>2</v>
      </c>
      <c r="F176" s="18">
        <v>5</v>
      </c>
      <c r="G176" s="18">
        <v>5</v>
      </c>
      <c r="H176" s="18">
        <v>3</v>
      </c>
      <c r="I176" s="18">
        <v>2</v>
      </c>
      <c r="J176" s="18">
        <v>8</v>
      </c>
      <c r="K176" s="18">
        <v>12</v>
      </c>
      <c r="L176" s="18">
        <v>0</v>
      </c>
      <c r="M176" s="18">
        <v>5</v>
      </c>
      <c r="N176" s="18">
        <v>30</v>
      </c>
      <c r="O176" s="18">
        <v>5</v>
      </c>
      <c r="P176" s="18">
        <v>5</v>
      </c>
      <c r="Q176" s="18">
        <v>2</v>
      </c>
      <c r="R176" s="18">
        <v>3</v>
      </c>
      <c r="S176" s="18">
        <v>0</v>
      </c>
      <c r="T176" s="18">
        <v>8</v>
      </c>
      <c r="U176" s="18">
        <v>3</v>
      </c>
      <c r="V176" s="19">
        <f t="shared" si="2"/>
        <v>100</v>
      </c>
    </row>
    <row r="177" spans="1:22" ht="15" customHeight="1">
      <c r="A177" s="6" t="s">
        <v>621</v>
      </c>
      <c r="B177" s="7" t="s">
        <v>622</v>
      </c>
      <c r="C177" s="7" t="s">
        <v>606</v>
      </c>
      <c r="D177" s="18">
        <v>2</v>
      </c>
      <c r="E177" s="18">
        <v>2</v>
      </c>
      <c r="F177" s="18">
        <v>5</v>
      </c>
      <c r="G177" s="18">
        <v>3</v>
      </c>
      <c r="H177" s="18">
        <v>3</v>
      </c>
      <c r="I177" s="18">
        <v>2</v>
      </c>
      <c r="J177" s="18">
        <v>5</v>
      </c>
      <c r="K177" s="18">
        <v>8</v>
      </c>
      <c r="L177" s="18">
        <v>0</v>
      </c>
      <c r="M177" s="18">
        <v>5</v>
      </c>
      <c r="N177" s="18">
        <v>35</v>
      </c>
      <c r="O177" s="18">
        <v>5</v>
      </c>
      <c r="P177" s="18">
        <v>5</v>
      </c>
      <c r="Q177" s="18">
        <v>2</v>
      </c>
      <c r="R177" s="18">
        <v>3</v>
      </c>
      <c r="S177" s="18">
        <v>0</v>
      </c>
      <c r="T177" s="18">
        <v>12</v>
      </c>
      <c r="U177" s="18">
        <v>3</v>
      </c>
      <c r="V177" s="19">
        <f t="shared" si="2"/>
        <v>100</v>
      </c>
    </row>
    <row r="178" spans="1:22" ht="15" customHeight="1">
      <c r="A178" s="6" t="s">
        <v>623</v>
      </c>
      <c r="B178" s="7" t="s">
        <v>624</v>
      </c>
      <c r="C178" s="7" t="s">
        <v>606</v>
      </c>
      <c r="D178" s="18">
        <v>2</v>
      </c>
      <c r="E178" s="18">
        <v>2</v>
      </c>
      <c r="F178" s="18">
        <v>5</v>
      </c>
      <c r="G178" s="18">
        <v>3</v>
      </c>
      <c r="H178" s="18">
        <v>3</v>
      </c>
      <c r="I178" s="18">
        <v>2</v>
      </c>
      <c r="J178" s="18">
        <v>8</v>
      </c>
      <c r="K178" s="18">
        <v>8</v>
      </c>
      <c r="L178" s="18">
        <v>0</v>
      </c>
      <c r="M178" s="18">
        <v>8</v>
      </c>
      <c r="N178" s="18">
        <v>30</v>
      </c>
      <c r="O178" s="18">
        <v>5</v>
      </c>
      <c r="P178" s="18">
        <v>5</v>
      </c>
      <c r="Q178" s="18">
        <v>3</v>
      </c>
      <c r="R178" s="18">
        <v>3</v>
      </c>
      <c r="S178" s="18">
        <v>0</v>
      </c>
      <c r="T178" s="18">
        <v>8</v>
      </c>
      <c r="U178" s="18">
        <v>5</v>
      </c>
      <c r="V178" s="19">
        <f t="shared" si="2"/>
        <v>100</v>
      </c>
    </row>
    <row r="179" spans="1:22" ht="15" customHeight="1">
      <c r="A179" s="6" t="s">
        <v>625</v>
      </c>
      <c r="B179" s="7" t="s">
        <v>626</v>
      </c>
      <c r="C179" s="7" t="s">
        <v>606</v>
      </c>
      <c r="D179" s="18">
        <v>1</v>
      </c>
      <c r="E179" s="18">
        <v>1</v>
      </c>
      <c r="F179" s="18">
        <v>2</v>
      </c>
      <c r="G179" s="18">
        <v>3</v>
      </c>
      <c r="H179" s="18">
        <v>1</v>
      </c>
      <c r="I179" s="18">
        <v>1</v>
      </c>
      <c r="J179" s="18">
        <v>1</v>
      </c>
      <c r="K179" s="18">
        <v>3</v>
      </c>
      <c r="L179" s="18">
        <v>0</v>
      </c>
      <c r="M179" s="18">
        <v>3</v>
      </c>
      <c r="N179" s="18">
        <v>1</v>
      </c>
      <c r="O179" s="18">
        <v>3</v>
      </c>
      <c r="P179" s="18">
        <v>3</v>
      </c>
      <c r="Q179" s="18">
        <v>3</v>
      </c>
      <c r="R179" s="18">
        <v>2</v>
      </c>
      <c r="S179" s="18">
        <v>0</v>
      </c>
      <c r="T179" s="18">
        <v>55</v>
      </c>
      <c r="U179" s="18">
        <v>17</v>
      </c>
      <c r="V179" s="19">
        <f t="shared" si="2"/>
        <v>100</v>
      </c>
    </row>
    <row r="180" spans="1:22" ht="15" customHeight="1">
      <c r="A180" s="6" t="s">
        <v>627</v>
      </c>
      <c r="B180" s="7" t="s">
        <v>628</v>
      </c>
      <c r="C180" s="7" t="s">
        <v>606</v>
      </c>
      <c r="D180" s="18">
        <v>2</v>
      </c>
      <c r="E180" s="18">
        <v>3</v>
      </c>
      <c r="F180" s="18">
        <v>3</v>
      </c>
      <c r="G180" s="18">
        <v>5</v>
      </c>
      <c r="H180" s="18">
        <v>2</v>
      </c>
      <c r="I180" s="18">
        <v>2</v>
      </c>
      <c r="J180" s="18">
        <v>3</v>
      </c>
      <c r="K180" s="18">
        <v>10</v>
      </c>
      <c r="L180" s="18">
        <v>0</v>
      </c>
      <c r="M180" s="18">
        <v>3</v>
      </c>
      <c r="N180" s="18">
        <v>1</v>
      </c>
      <c r="O180" s="18">
        <v>5</v>
      </c>
      <c r="P180" s="18">
        <v>3</v>
      </c>
      <c r="Q180" s="18">
        <v>25</v>
      </c>
      <c r="R180" s="18">
        <v>5</v>
      </c>
      <c r="S180" s="18">
        <v>3</v>
      </c>
      <c r="T180" s="18">
        <v>15</v>
      </c>
      <c r="U180" s="18">
        <v>10</v>
      </c>
      <c r="V180" s="19">
        <f t="shared" si="2"/>
        <v>100</v>
      </c>
    </row>
    <row r="181" spans="1:22" ht="15" customHeight="1">
      <c r="A181" s="6" t="s">
        <v>629</v>
      </c>
      <c r="B181" s="7" t="s">
        <v>630</v>
      </c>
      <c r="C181" s="7" t="s">
        <v>606</v>
      </c>
      <c r="D181" s="18">
        <v>2</v>
      </c>
      <c r="E181" s="18">
        <v>2</v>
      </c>
      <c r="F181" s="18">
        <v>2</v>
      </c>
      <c r="G181" s="18">
        <v>5</v>
      </c>
      <c r="H181" s="18">
        <v>2</v>
      </c>
      <c r="I181" s="18">
        <v>2</v>
      </c>
      <c r="J181" s="18">
        <v>2</v>
      </c>
      <c r="K181" s="18">
        <v>15</v>
      </c>
      <c r="L181" s="18">
        <v>0</v>
      </c>
      <c r="M181" s="18">
        <v>3</v>
      </c>
      <c r="N181" s="18">
        <v>1</v>
      </c>
      <c r="O181" s="18">
        <v>3</v>
      </c>
      <c r="P181" s="18">
        <v>3</v>
      </c>
      <c r="Q181" s="18">
        <v>20</v>
      </c>
      <c r="R181" s="18">
        <v>3</v>
      </c>
      <c r="S181" s="18">
        <v>5</v>
      </c>
      <c r="T181" s="18">
        <v>20</v>
      </c>
      <c r="U181" s="18">
        <v>10</v>
      </c>
      <c r="V181" s="19">
        <f t="shared" si="2"/>
        <v>100</v>
      </c>
    </row>
    <row r="182" spans="1:22" ht="15" customHeight="1">
      <c r="A182" s="6" t="s">
        <v>631</v>
      </c>
      <c r="B182" s="7" t="s">
        <v>632</v>
      </c>
      <c r="C182" s="7" t="s">
        <v>606</v>
      </c>
      <c r="D182" s="18">
        <v>3</v>
      </c>
      <c r="E182" s="18">
        <v>2</v>
      </c>
      <c r="F182" s="18">
        <v>2</v>
      </c>
      <c r="G182" s="18">
        <v>5</v>
      </c>
      <c r="H182" s="18">
        <v>2</v>
      </c>
      <c r="I182" s="18">
        <v>3</v>
      </c>
      <c r="J182" s="18">
        <v>2</v>
      </c>
      <c r="K182" s="18">
        <v>15</v>
      </c>
      <c r="L182" s="18">
        <v>0</v>
      </c>
      <c r="M182" s="18">
        <v>2</v>
      </c>
      <c r="N182" s="18">
        <v>1</v>
      </c>
      <c r="O182" s="18">
        <v>3</v>
      </c>
      <c r="P182" s="18">
        <v>2</v>
      </c>
      <c r="Q182" s="18">
        <v>5</v>
      </c>
      <c r="R182" s="18">
        <v>3</v>
      </c>
      <c r="S182" s="18">
        <v>5</v>
      </c>
      <c r="T182" s="18">
        <v>20</v>
      </c>
      <c r="U182" s="18">
        <v>25</v>
      </c>
      <c r="V182" s="19">
        <f t="shared" si="2"/>
        <v>100</v>
      </c>
    </row>
    <row r="183" spans="1:22" ht="15" customHeight="1">
      <c r="A183" s="6" t="s">
        <v>633</v>
      </c>
      <c r="B183" s="7" t="s">
        <v>634</v>
      </c>
      <c r="C183" s="7" t="s">
        <v>635</v>
      </c>
      <c r="D183" s="18">
        <v>3</v>
      </c>
      <c r="E183" s="18">
        <v>3</v>
      </c>
      <c r="F183" s="18">
        <v>3</v>
      </c>
      <c r="G183" s="18">
        <v>5</v>
      </c>
      <c r="H183" s="18">
        <v>3</v>
      </c>
      <c r="I183" s="18">
        <v>5</v>
      </c>
      <c r="J183" s="18">
        <v>2</v>
      </c>
      <c r="K183" s="18">
        <v>5</v>
      </c>
      <c r="L183" s="18">
        <v>0</v>
      </c>
      <c r="M183" s="18">
        <v>20</v>
      </c>
      <c r="N183" s="18">
        <v>0</v>
      </c>
      <c r="O183" s="18">
        <v>15</v>
      </c>
      <c r="P183" s="18">
        <v>1</v>
      </c>
      <c r="Q183" s="18">
        <v>5</v>
      </c>
      <c r="R183" s="18">
        <v>5</v>
      </c>
      <c r="S183" s="18">
        <v>0</v>
      </c>
      <c r="T183" s="18">
        <v>20</v>
      </c>
      <c r="U183" s="18">
        <v>5</v>
      </c>
      <c r="V183" s="19">
        <f t="shared" si="2"/>
        <v>100</v>
      </c>
    </row>
    <row r="184" spans="1:22" ht="15" customHeight="1">
      <c r="A184" s="6" t="s">
        <v>636</v>
      </c>
      <c r="B184" s="7" t="s">
        <v>637</v>
      </c>
      <c r="C184" s="7" t="s">
        <v>635</v>
      </c>
      <c r="D184" s="18">
        <v>3</v>
      </c>
      <c r="E184" s="18">
        <v>3</v>
      </c>
      <c r="F184" s="18">
        <v>5</v>
      </c>
      <c r="G184" s="18">
        <v>5</v>
      </c>
      <c r="H184" s="18">
        <v>5</v>
      </c>
      <c r="I184" s="18">
        <v>3</v>
      </c>
      <c r="J184" s="18">
        <v>3</v>
      </c>
      <c r="K184" s="18">
        <v>5</v>
      </c>
      <c r="L184" s="18">
        <v>0</v>
      </c>
      <c r="M184" s="18">
        <v>15</v>
      </c>
      <c r="N184" s="18">
        <v>0</v>
      </c>
      <c r="O184" s="18">
        <v>12</v>
      </c>
      <c r="P184" s="18">
        <v>2</v>
      </c>
      <c r="Q184" s="18">
        <v>3</v>
      </c>
      <c r="R184" s="18">
        <v>5</v>
      </c>
      <c r="S184" s="18">
        <v>0</v>
      </c>
      <c r="T184" s="18">
        <v>15</v>
      </c>
      <c r="U184" s="18">
        <v>16</v>
      </c>
      <c r="V184" s="19">
        <f t="shared" si="2"/>
        <v>100</v>
      </c>
    </row>
    <row r="185" spans="1:22" ht="15" customHeight="1">
      <c r="A185" s="6" t="s">
        <v>638</v>
      </c>
      <c r="B185" s="7" t="s">
        <v>639</v>
      </c>
      <c r="C185" s="7" t="s">
        <v>635</v>
      </c>
      <c r="D185" s="18">
        <v>2</v>
      </c>
      <c r="E185" s="18">
        <v>1</v>
      </c>
      <c r="F185" s="18">
        <v>1</v>
      </c>
      <c r="G185" s="18">
        <v>2</v>
      </c>
      <c r="H185" s="18">
        <v>1</v>
      </c>
      <c r="I185" s="18">
        <v>2</v>
      </c>
      <c r="J185" s="18">
        <v>1</v>
      </c>
      <c r="K185" s="18">
        <v>3</v>
      </c>
      <c r="L185" s="18">
        <v>0</v>
      </c>
      <c r="M185" s="18">
        <v>5</v>
      </c>
      <c r="N185" s="18">
        <v>0</v>
      </c>
      <c r="O185" s="18">
        <v>5</v>
      </c>
      <c r="P185" s="18">
        <v>1</v>
      </c>
      <c r="Q185" s="18">
        <v>2</v>
      </c>
      <c r="R185" s="18">
        <v>2</v>
      </c>
      <c r="S185" s="18">
        <v>0</v>
      </c>
      <c r="T185" s="18">
        <v>10</v>
      </c>
      <c r="U185" s="18">
        <v>62</v>
      </c>
      <c r="V185" s="19">
        <f t="shared" si="2"/>
        <v>100</v>
      </c>
    </row>
    <row r="186" spans="1:22" ht="15" customHeight="1">
      <c r="A186" s="6" t="s">
        <v>640</v>
      </c>
      <c r="B186" s="7" t="s">
        <v>641</v>
      </c>
      <c r="C186" s="7" t="s">
        <v>635</v>
      </c>
      <c r="D186" s="18">
        <v>8</v>
      </c>
      <c r="E186" s="18">
        <v>5</v>
      </c>
      <c r="F186" s="18">
        <v>15</v>
      </c>
      <c r="G186" s="18">
        <v>3</v>
      </c>
      <c r="H186" s="18">
        <v>3</v>
      </c>
      <c r="I186" s="18">
        <v>8</v>
      </c>
      <c r="J186" s="18">
        <v>15</v>
      </c>
      <c r="K186" s="18">
        <v>5</v>
      </c>
      <c r="L186" s="18">
        <v>0</v>
      </c>
      <c r="M186" s="18">
        <v>3</v>
      </c>
      <c r="N186" s="18">
        <v>0</v>
      </c>
      <c r="O186" s="18">
        <v>8</v>
      </c>
      <c r="P186" s="18">
        <v>5</v>
      </c>
      <c r="Q186" s="18">
        <v>2</v>
      </c>
      <c r="R186" s="18">
        <v>5</v>
      </c>
      <c r="S186" s="18">
        <v>0</v>
      </c>
      <c r="T186" s="18">
        <v>10</v>
      </c>
      <c r="U186" s="18">
        <v>5</v>
      </c>
      <c r="V186" s="19">
        <f t="shared" si="2"/>
        <v>100</v>
      </c>
    </row>
    <row r="187" spans="1:22" ht="15" customHeight="1">
      <c r="A187" s="6" t="s">
        <v>642</v>
      </c>
      <c r="B187" s="7" t="s">
        <v>643</v>
      </c>
      <c r="C187" s="7" t="s">
        <v>635</v>
      </c>
      <c r="D187" s="18">
        <v>5</v>
      </c>
      <c r="E187" s="18">
        <v>3</v>
      </c>
      <c r="F187" s="18">
        <v>8</v>
      </c>
      <c r="G187" s="18">
        <v>3</v>
      </c>
      <c r="H187" s="18">
        <v>20</v>
      </c>
      <c r="I187" s="18">
        <v>8</v>
      </c>
      <c r="J187" s="18">
        <v>8</v>
      </c>
      <c r="K187" s="18">
        <v>5</v>
      </c>
      <c r="L187" s="18">
        <v>0</v>
      </c>
      <c r="M187" s="18">
        <v>12</v>
      </c>
      <c r="N187" s="18">
        <v>0</v>
      </c>
      <c r="O187" s="18">
        <v>10</v>
      </c>
      <c r="P187" s="18">
        <v>5</v>
      </c>
      <c r="Q187" s="18">
        <v>2</v>
      </c>
      <c r="R187" s="18">
        <v>5</v>
      </c>
      <c r="S187" s="18">
        <v>0</v>
      </c>
      <c r="T187" s="18">
        <v>4</v>
      </c>
      <c r="U187" s="18">
        <v>2</v>
      </c>
      <c r="V187" s="19">
        <f t="shared" si="2"/>
        <v>100</v>
      </c>
    </row>
    <row r="188" spans="1:22" ht="15" customHeight="1">
      <c r="A188" s="6" t="s">
        <v>644</v>
      </c>
      <c r="B188" s="7" t="s">
        <v>645</v>
      </c>
      <c r="C188" s="7" t="s">
        <v>635</v>
      </c>
      <c r="D188" s="18">
        <v>3</v>
      </c>
      <c r="E188" s="18">
        <v>3</v>
      </c>
      <c r="F188" s="18">
        <v>8</v>
      </c>
      <c r="G188" s="18">
        <v>3</v>
      </c>
      <c r="H188" s="18">
        <v>10</v>
      </c>
      <c r="I188" s="18">
        <v>3</v>
      </c>
      <c r="J188" s="18">
        <v>5</v>
      </c>
      <c r="K188" s="18">
        <v>15</v>
      </c>
      <c r="L188" s="18">
        <v>0</v>
      </c>
      <c r="M188" s="18">
        <v>5</v>
      </c>
      <c r="N188" s="18">
        <v>0</v>
      </c>
      <c r="O188" s="18">
        <v>10</v>
      </c>
      <c r="P188" s="18">
        <v>20</v>
      </c>
      <c r="Q188" s="18">
        <v>2</v>
      </c>
      <c r="R188" s="18">
        <v>3</v>
      </c>
      <c r="S188" s="18">
        <v>0</v>
      </c>
      <c r="T188" s="18">
        <v>5</v>
      </c>
      <c r="U188" s="18">
        <v>5</v>
      </c>
      <c r="V188" s="19">
        <f t="shared" si="2"/>
        <v>100</v>
      </c>
    </row>
    <row r="189" spans="1:22" ht="15" customHeight="1">
      <c r="A189" s="6" t="s">
        <v>646</v>
      </c>
      <c r="B189" s="7" t="s">
        <v>647</v>
      </c>
      <c r="C189" s="7" t="s">
        <v>635</v>
      </c>
      <c r="D189" s="18">
        <v>5</v>
      </c>
      <c r="E189" s="18">
        <v>3</v>
      </c>
      <c r="F189" s="18">
        <v>8</v>
      </c>
      <c r="G189" s="18">
        <v>3</v>
      </c>
      <c r="H189" s="18">
        <v>15</v>
      </c>
      <c r="I189" s="18">
        <v>12</v>
      </c>
      <c r="J189" s="18">
        <v>8</v>
      </c>
      <c r="K189" s="18">
        <v>5</v>
      </c>
      <c r="L189" s="18">
        <v>0</v>
      </c>
      <c r="M189" s="18">
        <v>10</v>
      </c>
      <c r="N189" s="18">
        <v>0</v>
      </c>
      <c r="O189" s="18">
        <v>12</v>
      </c>
      <c r="P189" s="18">
        <v>5</v>
      </c>
      <c r="Q189" s="18">
        <v>2</v>
      </c>
      <c r="R189" s="18">
        <v>5</v>
      </c>
      <c r="S189" s="18">
        <v>0</v>
      </c>
      <c r="T189" s="18">
        <v>5</v>
      </c>
      <c r="U189" s="18">
        <v>2</v>
      </c>
      <c r="V189" s="19">
        <f t="shared" si="2"/>
        <v>100</v>
      </c>
    </row>
    <row r="190" spans="1:22" ht="15" customHeight="1">
      <c r="A190" s="6" t="s">
        <v>648</v>
      </c>
      <c r="B190" s="7" t="s">
        <v>649</v>
      </c>
      <c r="C190" s="7" t="s">
        <v>635</v>
      </c>
      <c r="D190" s="18">
        <v>12</v>
      </c>
      <c r="E190" s="18">
        <v>5</v>
      </c>
      <c r="F190" s="18">
        <v>5</v>
      </c>
      <c r="G190" s="18">
        <v>3</v>
      </c>
      <c r="H190" s="18">
        <v>15</v>
      </c>
      <c r="I190" s="18">
        <v>8</v>
      </c>
      <c r="J190" s="18">
        <v>5</v>
      </c>
      <c r="K190" s="18">
        <v>8</v>
      </c>
      <c r="L190" s="18">
        <v>0</v>
      </c>
      <c r="M190" s="18">
        <v>5</v>
      </c>
      <c r="N190" s="18">
        <v>0</v>
      </c>
      <c r="O190" s="18">
        <v>8</v>
      </c>
      <c r="P190" s="18">
        <v>3</v>
      </c>
      <c r="Q190" s="18">
        <v>2</v>
      </c>
      <c r="R190" s="18">
        <v>5</v>
      </c>
      <c r="S190" s="18">
        <v>0</v>
      </c>
      <c r="T190" s="18">
        <v>10</v>
      </c>
      <c r="U190" s="18">
        <v>6</v>
      </c>
      <c r="V190" s="19">
        <f t="shared" si="2"/>
        <v>100</v>
      </c>
    </row>
    <row r="191" spans="1:22" ht="15" customHeight="1">
      <c r="A191" s="6" t="s">
        <v>650</v>
      </c>
      <c r="B191" s="7" t="s">
        <v>651</v>
      </c>
      <c r="C191" s="7" t="s">
        <v>635</v>
      </c>
      <c r="D191" s="18">
        <v>8</v>
      </c>
      <c r="E191" s="18">
        <v>5</v>
      </c>
      <c r="F191" s="18">
        <v>10</v>
      </c>
      <c r="G191" s="18">
        <v>3</v>
      </c>
      <c r="H191" s="18">
        <v>18</v>
      </c>
      <c r="I191" s="18">
        <v>8</v>
      </c>
      <c r="J191" s="18">
        <v>10</v>
      </c>
      <c r="K191" s="18">
        <v>5</v>
      </c>
      <c r="L191" s="18">
        <v>0</v>
      </c>
      <c r="M191" s="18">
        <v>8</v>
      </c>
      <c r="N191" s="18">
        <v>0</v>
      </c>
      <c r="O191" s="18">
        <v>8</v>
      </c>
      <c r="P191" s="18">
        <v>3</v>
      </c>
      <c r="Q191" s="18">
        <v>2</v>
      </c>
      <c r="R191" s="18">
        <v>5</v>
      </c>
      <c r="S191" s="18">
        <v>0</v>
      </c>
      <c r="T191" s="18">
        <v>5</v>
      </c>
      <c r="U191" s="18">
        <v>2</v>
      </c>
      <c r="V191" s="19">
        <f t="shared" si="2"/>
        <v>100</v>
      </c>
    </row>
    <row r="192" spans="1:22" ht="15" customHeight="1">
      <c r="A192" s="6" t="s">
        <v>652</v>
      </c>
      <c r="B192" s="7" t="s">
        <v>653</v>
      </c>
      <c r="C192" s="7" t="s">
        <v>635</v>
      </c>
      <c r="D192" s="18">
        <v>8</v>
      </c>
      <c r="E192" s="18">
        <v>5</v>
      </c>
      <c r="F192" s="18">
        <v>5</v>
      </c>
      <c r="G192" s="18">
        <v>5</v>
      </c>
      <c r="H192" s="18">
        <v>8</v>
      </c>
      <c r="I192" s="18">
        <v>5</v>
      </c>
      <c r="J192" s="18">
        <v>5</v>
      </c>
      <c r="K192" s="18">
        <v>12</v>
      </c>
      <c r="L192" s="18">
        <v>2</v>
      </c>
      <c r="M192" s="18">
        <v>5</v>
      </c>
      <c r="N192" s="18">
        <v>0</v>
      </c>
      <c r="O192" s="18">
        <v>8</v>
      </c>
      <c r="P192" s="18">
        <v>12</v>
      </c>
      <c r="Q192" s="18">
        <v>2</v>
      </c>
      <c r="R192" s="18">
        <v>5</v>
      </c>
      <c r="S192" s="18">
        <v>0</v>
      </c>
      <c r="T192" s="18">
        <v>10</v>
      </c>
      <c r="U192" s="18">
        <v>3</v>
      </c>
      <c r="V192" s="19">
        <f t="shared" si="2"/>
        <v>100</v>
      </c>
    </row>
    <row r="193" spans="1:22" ht="15" customHeight="1">
      <c r="A193" s="6" t="s">
        <v>654</v>
      </c>
      <c r="B193" s="7" t="s">
        <v>655</v>
      </c>
      <c r="C193" s="7" t="s">
        <v>635</v>
      </c>
      <c r="D193" s="18">
        <v>10</v>
      </c>
      <c r="E193" s="18">
        <v>5</v>
      </c>
      <c r="F193" s="18">
        <v>5</v>
      </c>
      <c r="G193" s="18">
        <v>3</v>
      </c>
      <c r="H193" s="18">
        <v>20</v>
      </c>
      <c r="I193" s="18">
        <v>8</v>
      </c>
      <c r="J193" s="18">
        <v>5</v>
      </c>
      <c r="K193" s="18">
        <v>5</v>
      </c>
      <c r="L193" s="18">
        <v>0</v>
      </c>
      <c r="M193" s="18">
        <v>8</v>
      </c>
      <c r="N193" s="18">
        <v>0</v>
      </c>
      <c r="O193" s="18">
        <v>8</v>
      </c>
      <c r="P193" s="18">
        <v>3</v>
      </c>
      <c r="Q193" s="18">
        <v>2</v>
      </c>
      <c r="R193" s="18">
        <v>5</v>
      </c>
      <c r="S193" s="18">
        <v>0</v>
      </c>
      <c r="T193" s="18">
        <v>8</v>
      </c>
      <c r="U193" s="18">
        <v>5</v>
      </c>
      <c r="V193" s="19">
        <f t="shared" si="2"/>
        <v>100</v>
      </c>
    </row>
    <row r="194" spans="1:22" ht="15" customHeight="1">
      <c r="A194" s="6" t="s">
        <v>656</v>
      </c>
      <c r="B194" s="7" t="s">
        <v>657</v>
      </c>
      <c r="C194" s="7" t="s">
        <v>635</v>
      </c>
      <c r="D194" s="18">
        <v>8</v>
      </c>
      <c r="E194" s="18">
        <v>5</v>
      </c>
      <c r="F194" s="18">
        <v>8</v>
      </c>
      <c r="G194" s="18">
        <v>5</v>
      </c>
      <c r="H194" s="18">
        <v>12</v>
      </c>
      <c r="I194" s="18">
        <v>5</v>
      </c>
      <c r="J194" s="18">
        <v>8</v>
      </c>
      <c r="K194" s="18">
        <v>8</v>
      </c>
      <c r="L194" s="18">
        <v>0</v>
      </c>
      <c r="M194" s="18">
        <v>5</v>
      </c>
      <c r="N194" s="18">
        <v>0</v>
      </c>
      <c r="O194" s="18">
        <v>10</v>
      </c>
      <c r="P194" s="18">
        <v>8</v>
      </c>
      <c r="Q194" s="18">
        <v>3</v>
      </c>
      <c r="R194" s="18">
        <v>5</v>
      </c>
      <c r="S194" s="18">
        <v>0</v>
      </c>
      <c r="T194" s="18">
        <v>5</v>
      </c>
      <c r="U194" s="18">
        <v>5</v>
      </c>
      <c r="V194" s="19">
        <f t="shared" ref="V194:V257" si="3">SUM(D194:U194)</f>
        <v>100</v>
      </c>
    </row>
    <row r="195" spans="1:22" ht="15" customHeight="1">
      <c r="A195" s="6" t="s">
        <v>658</v>
      </c>
      <c r="B195" s="7" t="s">
        <v>659</v>
      </c>
      <c r="C195" s="7" t="s">
        <v>635</v>
      </c>
      <c r="D195" s="18">
        <v>5</v>
      </c>
      <c r="E195" s="18">
        <v>5</v>
      </c>
      <c r="F195" s="18">
        <v>5</v>
      </c>
      <c r="G195" s="18">
        <v>5</v>
      </c>
      <c r="H195" s="18">
        <v>10</v>
      </c>
      <c r="I195" s="18">
        <v>5</v>
      </c>
      <c r="J195" s="18">
        <v>5</v>
      </c>
      <c r="K195" s="18">
        <v>10</v>
      </c>
      <c r="L195" s="18">
        <v>0</v>
      </c>
      <c r="M195" s="18">
        <v>5</v>
      </c>
      <c r="N195" s="18">
        <v>0</v>
      </c>
      <c r="O195" s="18">
        <v>8</v>
      </c>
      <c r="P195" s="18">
        <v>18</v>
      </c>
      <c r="Q195" s="18">
        <v>2</v>
      </c>
      <c r="R195" s="18">
        <v>5</v>
      </c>
      <c r="S195" s="18">
        <v>0</v>
      </c>
      <c r="T195" s="18">
        <v>8</v>
      </c>
      <c r="U195" s="18">
        <v>4</v>
      </c>
      <c r="V195" s="19">
        <f t="shared" si="3"/>
        <v>100</v>
      </c>
    </row>
    <row r="196" spans="1:22" ht="15" customHeight="1">
      <c r="A196" s="6" t="s">
        <v>660</v>
      </c>
      <c r="B196" s="7" t="s">
        <v>661</v>
      </c>
      <c r="C196" s="7" t="s">
        <v>635</v>
      </c>
      <c r="D196" s="18">
        <v>3</v>
      </c>
      <c r="E196" s="18">
        <v>5</v>
      </c>
      <c r="F196" s="18">
        <v>5</v>
      </c>
      <c r="G196" s="18">
        <v>5</v>
      </c>
      <c r="H196" s="18">
        <v>5</v>
      </c>
      <c r="I196" s="18">
        <v>3</v>
      </c>
      <c r="J196" s="18">
        <v>8</v>
      </c>
      <c r="K196" s="18">
        <v>18</v>
      </c>
      <c r="L196" s="18">
        <v>0</v>
      </c>
      <c r="M196" s="18">
        <v>3</v>
      </c>
      <c r="N196" s="18">
        <v>2</v>
      </c>
      <c r="O196" s="18">
        <v>5</v>
      </c>
      <c r="P196" s="18">
        <v>20</v>
      </c>
      <c r="Q196" s="18">
        <v>3</v>
      </c>
      <c r="R196" s="18">
        <v>5</v>
      </c>
      <c r="S196" s="18">
        <v>0</v>
      </c>
      <c r="T196" s="18">
        <v>5</v>
      </c>
      <c r="U196" s="18">
        <v>5</v>
      </c>
      <c r="V196" s="19">
        <f t="shared" si="3"/>
        <v>100</v>
      </c>
    </row>
    <row r="197" spans="1:22" ht="15" customHeight="1">
      <c r="A197" s="6" t="s">
        <v>662</v>
      </c>
      <c r="B197" s="7" t="s">
        <v>663</v>
      </c>
      <c r="C197" s="7" t="s">
        <v>635</v>
      </c>
      <c r="D197" s="18">
        <v>8</v>
      </c>
      <c r="E197" s="18">
        <v>8</v>
      </c>
      <c r="F197" s="18">
        <v>5</v>
      </c>
      <c r="G197" s="18">
        <v>10</v>
      </c>
      <c r="H197" s="18">
        <v>5</v>
      </c>
      <c r="I197" s="18">
        <v>5</v>
      </c>
      <c r="J197" s="18">
        <v>8</v>
      </c>
      <c r="K197" s="18">
        <v>5</v>
      </c>
      <c r="L197" s="18">
        <v>0</v>
      </c>
      <c r="M197" s="18">
        <v>5</v>
      </c>
      <c r="N197" s="18">
        <v>1</v>
      </c>
      <c r="O197" s="18">
        <v>5</v>
      </c>
      <c r="P197" s="18">
        <v>3</v>
      </c>
      <c r="Q197" s="18">
        <v>3</v>
      </c>
      <c r="R197" s="18">
        <v>12</v>
      </c>
      <c r="S197" s="18">
        <v>0</v>
      </c>
      <c r="T197" s="18">
        <v>10</v>
      </c>
      <c r="U197" s="18">
        <v>7</v>
      </c>
      <c r="V197" s="19">
        <f t="shared" si="3"/>
        <v>100</v>
      </c>
    </row>
    <row r="198" spans="1:22" ht="15" customHeight="1">
      <c r="A198" s="6" t="s">
        <v>664</v>
      </c>
      <c r="B198" s="7" t="s">
        <v>665</v>
      </c>
      <c r="C198" s="7" t="s">
        <v>635</v>
      </c>
      <c r="D198" s="18">
        <v>5</v>
      </c>
      <c r="E198" s="18">
        <v>3</v>
      </c>
      <c r="F198" s="18">
        <v>10</v>
      </c>
      <c r="G198" s="18">
        <v>2</v>
      </c>
      <c r="H198" s="18">
        <v>25</v>
      </c>
      <c r="I198" s="18">
        <v>8</v>
      </c>
      <c r="J198" s="18">
        <v>10</v>
      </c>
      <c r="K198" s="18">
        <v>3</v>
      </c>
      <c r="L198" s="18">
        <v>0</v>
      </c>
      <c r="M198" s="18">
        <v>18</v>
      </c>
      <c r="N198" s="18">
        <v>2</v>
      </c>
      <c r="O198" s="18">
        <v>5</v>
      </c>
      <c r="P198" s="18">
        <v>1</v>
      </c>
      <c r="Q198" s="18">
        <v>2</v>
      </c>
      <c r="R198" s="18">
        <v>3</v>
      </c>
      <c r="S198" s="18">
        <v>0</v>
      </c>
      <c r="T198" s="18">
        <v>3</v>
      </c>
      <c r="U198" s="18">
        <v>0</v>
      </c>
      <c r="V198" s="19">
        <f t="shared" si="3"/>
        <v>100</v>
      </c>
    </row>
    <row r="199" spans="1:22" ht="15" customHeight="1">
      <c r="A199" s="6" t="s">
        <v>666</v>
      </c>
      <c r="B199" s="7" t="s">
        <v>667</v>
      </c>
      <c r="C199" s="7" t="s">
        <v>635</v>
      </c>
      <c r="D199" s="18">
        <v>3</v>
      </c>
      <c r="E199" s="18">
        <v>8</v>
      </c>
      <c r="F199" s="18">
        <v>8</v>
      </c>
      <c r="G199" s="18">
        <v>5</v>
      </c>
      <c r="H199" s="18">
        <v>3</v>
      </c>
      <c r="I199" s="18">
        <v>3</v>
      </c>
      <c r="J199" s="18">
        <v>15</v>
      </c>
      <c r="K199" s="18">
        <v>10</v>
      </c>
      <c r="L199" s="18">
        <v>2</v>
      </c>
      <c r="M199" s="18">
        <v>3</v>
      </c>
      <c r="N199" s="18">
        <v>10</v>
      </c>
      <c r="O199" s="18">
        <v>5</v>
      </c>
      <c r="P199" s="18">
        <v>5</v>
      </c>
      <c r="Q199" s="18">
        <v>3</v>
      </c>
      <c r="R199" s="18">
        <v>5</v>
      </c>
      <c r="S199" s="18">
        <v>0</v>
      </c>
      <c r="T199" s="18">
        <v>8</v>
      </c>
      <c r="U199" s="18">
        <v>4</v>
      </c>
      <c r="V199" s="19">
        <f t="shared" si="3"/>
        <v>100</v>
      </c>
    </row>
    <row r="200" spans="1:22" ht="15" customHeight="1">
      <c r="A200" s="6" t="s">
        <v>668</v>
      </c>
      <c r="B200" s="7" t="s">
        <v>669</v>
      </c>
      <c r="C200" s="7" t="s">
        <v>635</v>
      </c>
      <c r="D200" s="18">
        <v>5</v>
      </c>
      <c r="E200" s="18">
        <v>8</v>
      </c>
      <c r="F200" s="18">
        <v>5</v>
      </c>
      <c r="G200" s="18">
        <v>8</v>
      </c>
      <c r="H200" s="18">
        <v>5</v>
      </c>
      <c r="I200" s="18">
        <v>5</v>
      </c>
      <c r="J200" s="18">
        <v>8</v>
      </c>
      <c r="K200" s="18">
        <v>12</v>
      </c>
      <c r="L200" s="18">
        <v>0</v>
      </c>
      <c r="M200" s="18">
        <v>2</v>
      </c>
      <c r="N200" s="18">
        <v>0</v>
      </c>
      <c r="O200" s="18">
        <v>8</v>
      </c>
      <c r="P200" s="18">
        <v>5</v>
      </c>
      <c r="Q200" s="18">
        <v>8</v>
      </c>
      <c r="R200" s="18">
        <v>12</v>
      </c>
      <c r="S200" s="18">
        <v>0</v>
      </c>
      <c r="T200" s="18">
        <v>5</v>
      </c>
      <c r="U200" s="18">
        <v>4</v>
      </c>
      <c r="V200" s="19">
        <f t="shared" si="3"/>
        <v>100</v>
      </c>
    </row>
    <row r="201" spans="1:22" ht="15" customHeight="1">
      <c r="A201" s="6" t="s">
        <v>670</v>
      </c>
      <c r="B201" s="7" t="s">
        <v>671</v>
      </c>
      <c r="C201" s="7" t="s">
        <v>635</v>
      </c>
      <c r="D201" s="18">
        <v>3</v>
      </c>
      <c r="E201" s="18">
        <v>5</v>
      </c>
      <c r="F201" s="18">
        <v>8</v>
      </c>
      <c r="G201" s="18">
        <v>8</v>
      </c>
      <c r="H201" s="18">
        <v>2</v>
      </c>
      <c r="I201" s="18">
        <v>3</v>
      </c>
      <c r="J201" s="18">
        <v>5</v>
      </c>
      <c r="K201" s="18">
        <v>20</v>
      </c>
      <c r="L201" s="18">
        <v>0</v>
      </c>
      <c r="M201" s="18">
        <v>2</v>
      </c>
      <c r="N201" s="18">
        <v>1</v>
      </c>
      <c r="O201" s="18">
        <v>5</v>
      </c>
      <c r="P201" s="18">
        <v>3</v>
      </c>
      <c r="Q201" s="18">
        <v>18</v>
      </c>
      <c r="R201" s="18">
        <v>5</v>
      </c>
      <c r="S201" s="18">
        <v>5</v>
      </c>
      <c r="T201" s="18">
        <v>3</v>
      </c>
      <c r="U201" s="18">
        <v>4</v>
      </c>
      <c r="V201" s="19">
        <f t="shared" si="3"/>
        <v>100</v>
      </c>
    </row>
    <row r="202" spans="1:22" ht="15" customHeight="1">
      <c r="A202" s="6" t="s">
        <v>672</v>
      </c>
      <c r="B202" s="7" t="s">
        <v>673</v>
      </c>
      <c r="C202" s="7" t="s">
        <v>635</v>
      </c>
      <c r="D202" s="18">
        <v>5</v>
      </c>
      <c r="E202" s="18">
        <v>5</v>
      </c>
      <c r="F202" s="18">
        <v>8</v>
      </c>
      <c r="G202" s="18">
        <v>5</v>
      </c>
      <c r="H202" s="18">
        <v>8</v>
      </c>
      <c r="I202" s="18">
        <v>5</v>
      </c>
      <c r="J202" s="18">
        <v>8</v>
      </c>
      <c r="K202" s="18">
        <v>8</v>
      </c>
      <c r="L202" s="18">
        <v>0</v>
      </c>
      <c r="M202" s="18">
        <v>5</v>
      </c>
      <c r="N202" s="18">
        <v>2</v>
      </c>
      <c r="O202" s="18">
        <v>10</v>
      </c>
      <c r="P202" s="18">
        <v>8</v>
      </c>
      <c r="Q202" s="18">
        <v>3</v>
      </c>
      <c r="R202" s="18">
        <v>8</v>
      </c>
      <c r="S202" s="18">
        <v>0</v>
      </c>
      <c r="T202" s="18">
        <v>8</v>
      </c>
      <c r="U202" s="18">
        <v>4</v>
      </c>
      <c r="V202" s="19">
        <f t="shared" si="3"/>
        <v>100</v>
      </c>
    </row>
    <row r="203" spans="1:22" ht="15" customHeight="1">
      <c r="A203" s="6" t="s">
        <v>674</v>
      </c>
      <c r="B203" s="7" t="s">
        <v>675</v>
      </c>
      <c r="C203" s="7" t="s">
        <v>635</v>
      </c>
      <c r="D203" s="18">
        <v>3</v>
      </c>
      <c r="E203" s="18">
        <v>3</v>
      </c>
      <c r="F203" s="18">
        <v>10</v>
      </c>
      <c r="G203" s="18">
        <v>3</v>
      </c>
      <c r="H203" s="18">
        <v>5</v>
      </c>
      <c r="I203" s="18">
        <v>5</v>
      </c>
      <c r="J203" s="18">
        <v>10</v>
      </c>
      <c r="K203" s="18">
        <v>3</v>
      </c>
      <c r="L203" s="18">
        <v>0</v>
      </c>
      <c r="M203" s="18">
        <v>12</v>
      </c>
      <c r="N203" s="18">
        <v>0</v>
      </c>
      <c r="O203" s="18">
        <v>8</v>
      </c>
      <c r="P203" s="18">
        <v>3</v>
      </c>
      <c r="Q203" s="18">
        <v>5</v>
      </c>
      <c r="R203" s="18">
        <v>5</v>
      </c>
      <c r="S203" s="18">
        <v>0</v>
      </c>
      <c r="T203" s="18">
        <v>12</v>
      </c>
      <c r="U203" s="18">
        <v>13</v>
      </c>
      <c r="V203" s="19">
        <f t="shared" si="3"/>
        <v>100</v>
      </c>
    </row>
    <row r="204" spans="1:22" ht="15" customHeight="1">
      <c r="A204" s="6" t="s">
        <v>676</v>
      </c>
      <c r="B204" s="7" t="s">
        <v>677</v>
      </c>
      <c r="C204" s="7" t="s">
        <v>635</v>
      </c>
      <c r="D204" s="18">
        <v>3</v>
      </c>
      <c r="E204" s="18">
        <v>5</v>
      </c>
      <c r="F204" s="18">
        <v>5</v>
      </c>
      <c r="G204" s="18">
        <v>5</v>
      </c>
      <c r="H204" s="18">
        <v>5</v>
      </c>
      <c r="I204" s="18">
        <v>3</v>
      </c>
      <c r="J204" s="18">
        <v>3</v>
      </c>
      <c r="K204" s="18">
        <v>25</v>
      </c>
      <c r="L204" s="18">
        <v>0</v>
      </c>
      <c r="M204" s="18">
        <v>2</v>
      </c>
      <c r="N204" s="18">
        <v>2</v>
      </c>
      <c r="O204" s="18">
        <v>5</v>
      </c>
      <c r="P204" s="18">
        <v>18</v>
      </c>
      <c r="Q204" s="18">
        <v>2</v>
      </c>
      <c r="R204" s="18">
        <v>3</v>
      </c>
      <c r="S204" s="18">
        <v>0</v>
      </c>
      <c r="T204" s="18">
        <v>10</v>
      </c>
      <c r="U204" s="18">
        <v>4</v>
      </c>
      <c r="V204" s="19">
        <f t="shared" si="3"/>
        <v>100</v>
      </c>
    </row>
    <row r="205" spans="1:22" ht="15" customHeight="1">
      <c r="A205" s="6" t="s">
        <v>678</v>
      </c>
      <c r="B205" s="7" t="s">
        <v>679</v>
      </c>
      <c r="C205" s="7" t="s">
        <v>635</v>
      </c>
      <c r="D205" s="18">
        <v>5</v>
      </c>
      <c r="E205" s="18">
        <v>5</v>
      </c>
      <c r="F205" s="18">
        <v>5</v>
      </c>
      <c r="G205" s="18">
        <v>5</v>
      </c>
      <c r="H205" s="18">
        <v>8</v>
      </c>
      <c r="I205" s="18">
        <v>8</v>
      </c>
      <c r="J205" s="18">
        <v>3</v>
      </c>
      <c r="K205" s="18">
        <v>10</v>
      </c>
      <c r="L205" s="18">
        <v>0</v>
      </c>
      <c r="M205" s="18">
        <v>5</v>
      </c>
      <c r="N205" s="18">
        <v>5</v>
      </c>
      <c r="O205" s="18">
        <v>5</v>
      </c>
      <c r="P205" s="18">
        <v>8</v>
      </c>
      <c r="Q205" s="18">
        <v>2</v>
      </c>
      <c r="R205" s="18">
        <v>5</v>
      </c>
      <c r="S205" s="18">
        <v>0</v>
      </c>
      <c r="T205" s="18">
        <v>15</v>
      </c>
      <c r="U205" s="18">
        <v>6</v>
      </c>
      <c r="V205" s="19">
        <f t="shared" si="3"/>
        <v>100</v>
      </c>
    </row>
    <row r="206" spans="1:22" ht="15" customHeight="1">
      <c r="A206" s="6" t="s">
        <v>680</v>
      </c>
      <c r="B206" s="7" t="s">
        <v>681</v>
      </c>
      <c r="C206" s="7" t="s">
        <v>635</v>
      </c>
      <c r="D206" s="18">
        <v>3</v>
      </c>
      <c r="E206" s="18">
        <v>3</v>
      </c>
      <c r="F206" s="18">
        <v>10</v>
      </c>
      <c r="G206" s="18">
        <v>3</v>
      </c>
      <c r="H206" s="18">
        <v>5</v>
      </c>
      <c r="I206" s="18">
        <v>5</v>
      </c>
      <c r="J206" s="18">
        <v>10</v>
      </c>
      <c r="K206" s="18">
        <v>3</v>
      </c>
      <c r="L206" s="18">
        <v>0</v>
      </c>
      <c r="M206" s="18">
        <v>12</v>
      </c>
      <c r="N206" s="18">
        <v>0</v>
      </c>
      <c r="O206" s="18">
        <v>8</v>
      </c>
      <c r="P206" s="18">
        <v>3</v>
      </c>
      <c r="Q206" s="18">
        <v>5</v>
      </c>
      <c r="R206" s="18">
        <v>5</v>
      </c>
      <c r="S206" s="18">
        <v>0</v>
      </c>
      <c r="T206" s="18">
        <v>12</v>
      </c>
      <c r="U206" s="18">
        <v>13</v>
      </c>
      <c r="V206" s="19">
        <f t="shared" si="3"/>
        <v>100</v>
      </c>
    </row>
    <row r="207" spans="1:22" ht="15" customHeight="1">
      <c r="A207" s="6" t="s">
        <v>682</v>
      </c>
      <c r="B207" s="7" t="s">
        <v>683</v>
      </c>
      <c r="C207" s="7" t="s">
        <v>635</v>
      </c>
      <c r="D207" s="18">
        <v>3</v>
      </c>
      <c r="E207" s="18">
        <v>5</v>
      </c>
      <c r="F207" s="18">
        <v>5</v>
      </c>
      <c r="G207" s="18">
        <v>5</v>
      </c>
      <c r="H207" s="18">
        <v>5</v>
      </c>
      <c r="I207" s="18">
        <v>3</v>
      </c>
      <c r="J207" s="18">
        <v>8</v>
      </c>
      <c r="K207" s="18">
        <v>20</v>
      </c>
      <c r="L207" s="18">
        <v>0</v>
      </c>
      <c r="M207" s="18">
        <v>3</v>
      </c>
      <c r="N207" s="18">
        <v>2</v>
      </c>
      <c r="O207" s="18">
        <v>8</v>
      </c>
      <c r="P207" s="18">
        <v>18</v>
      </c>
      <c r="Q207" s="18">
        <v>3</v>
      </c>
      <c r="R207" s="18">
        <v>5</v>
      </c>
      <c r="S207" s="18">
        <v>0</v>
      </c>
      <c r="T207" s="18">
        <v>5</v>
      </c>
      <c r="U207" s="18">
        <v>2</v>
      </c>
      <c r="V207" s="19">
        <f t="shared" si="3"/>
        <v>100</v>
      </c>
    </row>
    <row r="208" spans="1:22" ht="15" customHeight="1">
      <c r="A208" s="6" t="s">
        <v>684</v>
      </c>
      <c r="B208" s="7" t="s">
        <v>685</v>
      </c>
      <c r="C208" s="7" t="s">
        <v>635</v>
      </c>
      <c r="D208" s="18">
        <v>5</v>
      </c>
      <c r="E208" s="18">
        <v>5</v>
      </c>
      <c r="F208" s="18">
        <v>8</v>
      </c>
      <c r="G208" s="18">
        <v>5</v>
      </c>
      <c r="H208" s="18">
        <v>5</v>
      </c>
      <c r="I208" s="18">
        <v>5</v>
      </c>
      <c r="J208" s="18">
        <v>10</v>
      </c>
      <c r="K208" s="18">
        <v>8</v>
      </c>
      <c r="L208" s="18">
        <v>0</v>
      </c>
      <c r="M208" s="18">
        <v>3</v>
      </c>
      <c r="N208" s="18">
        <v>0</v>
      </c>
      <c r="O208" s="18">
        <v>10</v>
      </c>
      <c r="P208" s="18">
        <v>5</v>
      </c>
      <c r="Q208" s="18">
        <v>5</v>
      </c>
      <c r="R208" s="18">
        <v>8</v>
      </c>
      <c r="S208" s="18">
        <v>0</v>
      </c>
      <c r="T208" s="18">
        <v>10</v>
      </c>
      <c r="U208" s="18">
        <v>8</v>
      </c>
      <c r="V208" s="19">
        <f t="shared" si="3"/>
        <v>100</v>
      </c>
    </row>
    <row r="209" spans="1:22" ht="15" customHeight="1">
      <c r="A209" s="6" t="s">
        <v>686</v>
      </c>
      <c r="B209" s="7" t="s">
        <v>687</v>
      </c>
      <c r="C209" s="7" t="s">
        <v>635</v>
      </c>
      <c r="D209" s="18">
        <v>5</v>
      </c>
      <c r="E209" s="18">
        <v>5</v>
      </c>
      <c r="F209" s="18">
        <v>5</v>
      </c>
      <c r="G209" s="18">
        <v>8</v>
      </c>
      <c r="H209" s="18">
        <v>3</v>
      </c>
      <c r="I209" s="18">
        <v>5</v>
      </c>
      <c r="J209" s="18">
        <v>8</v>
      </c>
      <c r="K209" s="18">
        <v>12</v>
      </c>
      <c r="L209" s="18">
        <v>0</v>
      </c>
      <c r="M209" s="18">
        <v>2</v>
      </c>
      <c r="N209" s="18">
        <v>0</v>
      </c>
      <c r="O209" s="18">
        <v>8</v>
      </c>
      <c r="P209" s="18">
        <v>8</v>
      </c>
      <c r="Q209" s="18">
        <v>8</v>
      </c>
      <c r="R209" s="18">
        <v>12</v>
      </c>
      <c r="S209" s="18">
        <v>0</v>
      </c>
      <c r="T209" s="18">
        <v>8</v>
      </c>
      <c r="U209" s="18">
        <v>3</v>
      </c>
      <c r="V209" s="19">
        <f t="shared" si="3"/>
        <v>100</v>
      </c>
    </row>
    <row r="210" spans="1:22" ht="15" customHeight="1">
      <c r="A210" s="6" t="s">
        <v>688</v>
      </c>
      <c r="B210" s="7" t="s">
        <v>689</v>
      </c>
      <c r="C210" s="7" t="s">
        <v>635</v>
      </c>
      <c r="D210" s="18">
        <v>3</v>
      </c>
      <c r="E210" s="18">
        <v>3</v>
      </c>
      <c r="F210" s="18">
        <v>5</v>
      </c>
      <c r="G210" s="18">
        <v>5</v>
      </c>
      <c r="H210" s="18">
        <v>2</v>
      </c>
      <c r="I210" s="18">
        <v>3</v>
      </c>
      <c r="J210" s="18">
        <v>8</v>
      </c>
      <c r="K210" s="18">
        <v>5</v>
      </c>
      <c r="L210" s="18">
        <v>0</v>
      </c>
      <c r="M210" s="18">
        <v>5</v>
      </c>
      <c r="N210" s="18">
        <v>2</v>
      </c>
      <c r="O210" s="18">
        <v>3</v>
      </c>
      <c r="P210" s="18">
        <v>2</v>
      </c>
      <c r="Q210" s="18">
        <v>35</v>
      </c>
      <c r="R210" s="18">
        <v>5</v>
      </c>
      <c r="S210" s="18">
        <v>0</v>
      </c>
      <c r="T210" s="18">
        <v>8</v>
      </c>
      <c r="U210" s="18">
        <v>6</v>
      </c>
      <c r="V210" s="19">
        <f t="shared" si="3"/>
        <v>100</v>
      </c>
    </row>
    <row r="211" spans="1:22" ht="15" customHeight="1">
      <c r="A211" s="6" t="s">
        <v>690</v>
      </c>
      <c r="B211" s="7" t="s">
        <v>691</v>
      </c>
      <c r="C211" s="7" t="s">
        <v>635</v>
      </c>
      <c r="D211" s="18">
        <v>3</v>
      </c>
      <c r="E211" s="18">
        <v>5</v>
      </c>
      <c r="F211" s="18">
        <v>8</v>
      </c>
      <c r="G211" s="18">
        <v>8</v>
      </c>
      <c r="H211" s="18">
        <v>2</v>
      </c>
      <c r="I211" s="18">
        <v>3</v>
      </c>
      <c r="J211" s="18">
        <v>5</v>
      </c>
      <c r="K211" s="18">
        <v>20</v>
      </c>
      <c r="L211" s="18">
        <v>0</v>
      </c>
      <c r="M211" s="18">
        <v>2</v>
      </c>
      <c r="N211" s="18">
        <v>1</v>
      </c>
      <c r="O211" s="18">
        <v>5</v>
      </c>
      <c r="P211" s="18">
        <v>3</v>
      </c>
      <c r="Q211" s="18">
        <v>18</v>
      </c>
      <c r="R211" s="18">
        <v>5</v>
      </c>
      <c r="S211" s="18">
        <v>5</v>
      </c>
      <c r="T211" s="18">
        <v>3</v>
      </c>
      <c r="U211" s="18">
        <v>4</v>
      </c>
      <c r="V211" s="19">
        <f t="shared" si="3"/>
        <v>100</v>
      </c>
    </row>
    <row r="212" spans="1:22" ht="15" customHeight="1">
      <c r="A212" s="6" t="s">
        <v>692</v>
      </c>
      <c r="B212" s="7" t="s">
        <v>693</v>
      </c>
      <c r="C212" s="7" t="s">
        <v>635</v>
      </c>
      <c r="D212" s="18">
        <v>5</v>
      </c>
      <c r="E212" s="18">
        <v>5</v>
      </c>
      <c r="F212" s="18">
        <v>5</v>
      </c>
      <c r="G212" s="18">
        <v>5</v>
      </c>
      <c r="H212" s="18">
        <v>5</v>
      </c>
      <c r="I212" s="18">
        <v>12</v>
      </c>
      <c r="J212" s="18">
        <v>8</v>
      </c>
      <c r="K212" s="18">
        <v>5</v>
      </c>
      <c r="L212" s="18">
        <v>0</v>
      </c>
      <c r="M212" s="18">
        <v>10</v>
      </c>
      <c r="N212" s="18">
        <v>0</v>
      </c>
      <c r="O212" s="18">
        <v>10</v>
      </c>
      <c r="P212" s="18">
        <v>5</v>
      </c>
      <c r="Q212" s="18">
        <v>3</v>
      </c>
      <c r="R212" s="18">
        <v>5</v>
      </c>
      <c r="S212" s="18">
        <v>0</v>
      </c>
      <c r="T212" s="18">
        <v>10</v>
      </c>
      <c r="U212" s="18">
        <v>7</v>
      </c>
      <c r="V212" s="19">
        <f t="shared" si="3"/>
        <v>100</v>
      </c>
    </row>
    <row r="213" spans="1:22" ht="15" customHeight="1">
      <c r="A213" s="6" t="s">
        <v>694</v>
      </c>
      <c r="B213" s="7" t="s">
        <v>695</v>
      </c>
      <c r="C213" s="7" t="s">
        <v>635</v>
      </c>
      <c r="D213" s="18">
        <v>5</v>
      </c>
      <c r="E213" s="18">
        <v>5</v>
      </c>
      <c r="F213" s="18">
        <v>5</v>
      </c>
      <c r="G213" s="18">
        <v>5</v>
      </c>
      <c r="H213" s="18">
        <v>5</v>
      </c>
      <c r="I213" s="18">
        <v>8</v>
      </c>
      <c r="J213" s="18">
        <v>10</v>
      </c>
      <c r="K213" s="18">
        <v>5</v>
      </c>
      <c r="L213" s="18">
        <v>0</v>
      </c>
      <c r="M213" s="18">
        <v>10</v>
      </c>
      <c r="N213" s="18">
        <v>0</v>
      </c>
      <c r="O213" s="18">
        <v>10</v>
      </c>
      <c r="P213" s="18">
        <v>3</v>
      </c>
      <c r="Q213" s="18">
        <v>5</v>
      </c>
      <c r="R213" s="18">
        <v>5</v>
      </c>
      <c r="S213" s="18">
        <v>0</v>
      </c>
      <c r="T213" s="18">
        <v>10</v>
      </c>
      <c r="U213" s="18">
        <v>9</v>
      </c>
      <c r="V213" s="19">
        <f t="shared" si="3"/>
        <v>100</v>
      </c>
    </row>
    <row r="214" spans="1:22" ht="15" customHeight="1">
      <c r="A214" s="6" t="s">
        <v>696</v>
      </c>
      <c r="B214" s="7" t="s">
        <v>689</v>
      </c>
      <c r="C214" s="7" t="s">
        <v>635</v>
      </c>
      <c r="D214" s="18">
        <v>3</v>
      </c>
      <c r="E214" s="18">
        <v>3</v>
      </c>
      <c r="F214" s="18">
        <v>5</v>
      </c>
      <c r="G214" s="18">
        <v>5</v>
      </c>
      <c r="H214" s="18">
        <v>2</v>
      </c>
      <c r="I214" s="18">
        <v>3</v>
      </c>
      <c r="J214" s="18">
        <v>8</v>
      </c>
      <c r="K214" s="18">
        <v>5</v>
      </c>
      <c r="L214" s="18">
        <v>0</v>
      </c>
      <c r="M214" s="18">
        <v>5</v>
      </c>
      <c r="N214" s="18">
        <v>2</v>
      </c>
      <c r="O214" s="18">
        <v>3</v>
      </c>
      <c r="P214" s="18">
        <v>2</v>
      </c>
      <c r="Q214" s="18">
        <v>35</v>
      </c>
      <c r="R214" s="18">
        <v>5</v>
      </c>
      <c r="S214" s="18">
        <v>0</v>
      </c>
      <c r="T214" s="18">
        <v>8</v>
      </c>
      <c r="U214" s="18">
        <v>6</v>
      </c>
      <c r="V214" s="19">
        <f t="shared" si="3"/>
        <v>100</v>
      </c>
    </row>
    <row r="215" spans="1:22" ht="15" customHeight="1">
      <c r="A215" s="6" t="s">
        <v>697</v>
      </c>
      <c r="B215" s="7" t="s">
        <v>698</v>
      </c>
      <c r="C215" s="7" t="s">
        <v>635</v>
      </c>
      <c r="D215" s="18">
        <v>2</v>
      </c>
      <c r="E215" s="18">
        <v>2</v>
      </c>
      <c r="F215" s="18">
        <v>2</v>
      </c>
      <c r="G215" s="18">
        <v>5</v>
      </c>
      <c r="H215" s="18">
        <v>1</v>
      </c>
      <c r="I215" s="18">
        <v>2</v>
      </c>
      <c r="J215" s="18">
        <v>2</v>
      </c>
      <c r="K215" s="18">
        <v>10</v>
      </c>
      <c r="L215" s="18">
        <v>0</v>
      </c>
      <c r="M215" s="18">
        <v>3</v>
      </c>
      <c r="N215" s="18">
        <v>0</v>
      </c>
      <c r="O215" s="18">
        <v>3</v>
      </c>
      <c r="P215" s="18">
        <v>2</v>
      </c>
      <c r="Q215" s="18">
        <v>25</v>
      </c>
      <c r="R215" s="18">
        <v>2</v>
      </c>
      <c r="S215" s="18">
        <v>0</v>
      </c>
      <c r="T215" s="18">
        <v>15</v>
      </c>
      <c r="U215" s="18">
        <v>24</v>
      </c>
      <c r="V215" s="19">
        <f t="shared" si="3"/>
        <v>100</v>
      </c>
    </row>
    <row r="216" spans="1:22" ht="15" customHeight="1">
      <c r="A216" s="6" t="s">
        <v>699</v>
      </c>
      <c r="B216" s="7" t="s">
        <v>700</v>
      </c>
      <c r="C216" s="7" t="s">
        <v>635</v>
      </c>
      <c r="D216" s="18">
        <v>3</v>
      </c>
      <c r="E216" s="18">
        <v>3</v>
      </c>
      <c r="F216" s="18">
        <v>8</v>
      </c>
      <c r="G216" s="18">
        <v>5</v>
      </c>
      <c r="H216" s="18">
        <v>2</v>
      </c>
      <c r="I216" s="18">
        <v>3</v>
      </c>
      <c r="J216" s="18">
        <v>10</v>
      </c>
      <c r="K216" s="18">
        <v>8</v>
      </c>
      <c r="L216" s="18">
        <v>0</v>
      </c>
      <c r="M216" s="18">
        <v>15</v>
      </c>
      <c r="N216" s="18">
        <v>2</v>
      </c>
      <c r="O216" s="18">
        <v>3</v>
      </c>
      <c r="P216" s="18">
        <v>2</v>
      </c>
      <c r="Q216" s="18">
        <v>25</v>
      </c>
      <c r="R216" s="18">
        <v>5</v>
      </c>
      <c r="S216" s="18">
        <v>0</v>
      </c>
      <c r="T216" s="18">
        <v>6</v>
      </c>
      <c r="U216" s="18">
        <v>0</v>
      </c>
      <c r="V216" s="19">
        <f t="shared" si="3"/>
        <v>100</v>
      </c>
    </row>
    <row r="217" spans="1:22" ht="15" customHeight="1">
      <c r="A217" s="6" t="s">
        <v>701</v>
      </c>
      <c r="B217" s="7" t="s">
        <v>702</v>
      </c>
      <c r="C217" s="7" t="s">
        <v>703</v>
      </c>
      <c r="D217" s="18">
        <v>8</v>
      </c>
      <c r="E217" s="18">
        <v>8</v>
      </c>
      <c r="F217" s="18">
        <v>8</v>
      </c>
      <c r="G217" s="18">
        <v>5</v>
      </c>
      <c r="H217" s="18">
        <v>5</v>
      </c>
      <c r="I217" s="18">
        <v>8</v>
      </c>
      <c r="J217" s="18">
        <v>10</v>
      </c>
      <c r="K217" s="18">
        <v>8</v>
      </c>
      <c r="L217" s="18">
        <v>0</v>
      </c>
      <c r="M217" s="18">
        <v>2</v>
      </c>
      <c r="N217" s="18">
        <v>0</v>
      </c>
      <c r="O217" s="18">
        <v>8</v>
      </c>
      <c r="P217" s="18">
        <v>3</v>
      </c>
      <c r="Q217" s="18">
        <v>3</v>
      </c>
      <c r="R217" s="18">
        <v>8</v>
      </c>
      <c r="S217" s="18">
        <v>0</v>
      </c>
      <c r="T217" s="18">
        <v>10</v>
      </c>
      <c r="U217" s="18">
        <v>6</v>
      </c>
      <c r="V217" s="19">
        <f t="shared" si="3"/>
        <v>100</v>
      </c>
    </row>
    <row r="218" spans="1:22" ht="15" customHeight="1">
      <c r="A218" s="6" t="s">
        <v>704</v>
      </c>
      <c r="B218" s="7" t="s">
        <v>705</v>
      </c>
      <c r="C218" s="7" t="s">
        <v>703</v>
      </c>
      <c r="D218" s="18">
        <v>15</v>
      </c>
      <c r="E218" s="18">
        <v>10</v>
      </c>
      <c r="F218" s="18">
        <v>5</v>
      </c>
      <c r="G218" s="18">
        <v>5</v>
      </c>
      <c r="H218" s="18">
        <v>5</v>
      </c>
      <c r="I218" s="18">
        <v>10</v>
      </c>
      <c r="J218" s="18">
        <v>5</v>
      </c>
      <c r="K218" s="18">
        <v>8</v>
      </c>
      <c r="L218" s="18">
        <v>0</v>
      </c>
      <c r="M218" s="18">
        <v>2</v>
      </c>
      <c r="N218" s="18">
        <v>0</v>
      </c>
      <c r="O218" s="18">
        <v>3</v>
      </c>
      <c r="P218" s="18">
        <v>1</v>
      </c>
      <c r="Q218" s="18">
        <v>2</v>
      </c>
      <c r="R218" s="18">
        <v>5</v>
      </c>
      <c r="S218" s="18">
        <v>0</v>
      </c>
      <c r="T218" s="18">
        <v>15</v>
      </c>
      <c r="U218" s="18">
        <v>9</v>
      </c>
      <c r="V218" s="19">
        <f t="shared" si="3"/>
        <v>100</v>
      </c>
    </row>
    <row r="219" spans="1:22" ht="15" customHeight="1">
      <c r="A219" s="6" t="s">
        <v>706</v>
      </c>
      <c r="B219" s="7" t="s">
        <v>707</v>
      </c>
      <c r="C219" s="7" t="s">
        <v>703</v>
      </c>
      <c r="D219" s="18">
        <v>12</v>
      </c>
      <c r="E219" s="18">
        <v>10</v>
      </c>
      <c r="F219" s="18">
        <v>5</v>
      </c>
      <c r="G219" s="18">
        <v>5</v>
      </c>
      <c r="H219" s="18">
        <v>5</v>
      </c>
      <c r="I219" s="18">
        <v>10</v>
      </c>
      <c r="J219" s="18">
        <v>5</v>
      </c>
      <c r="K219" s="18">
        <v>10</v>
      </c>
      <c r="L219" s="18">
        <v>0</v>
      </c>
      <c r="M219" s="18">
        <v>2</v>
      </c>
      <c r="N219" s="18">
        <v>0</v>
      </c>
      <c r="O219" s="18">
        <v>3</v>
      </c>
      <c r="P219" s="18">
        <v>2</v>
      </c>
      <c r="Q219" s="18">
        <v>2</v>
      </c>
      <c r="R219" s="18">
        <v>5</v>
      </c>
      <c r="S219" s="18">
        <v>0</v>
      </c>
      <c r="T219" s="18">
        <v>15</v>
      </c>
      <c r="U219" s="18">
        <v>9</v>
      </c>
      <c r="V219" s="19">
        <f t="shared" si="3"/>
        <v>100</v>
      </c>
    </row>
    <row r="220" spans="1:22" ht="15" customHeight="1">
      <c r="A220" s="6" t="s">
        <v>708</v>
      </c>
      <c r="B220" s="7" t="s">
        <v>709</v>
      </c>
      <c r="C220" s="7" t="s">
        <v>703</v>
      </c>
      <c r="D220" s="18">
        <v>8</v>
      </c>
      <c r="E220" s="18">
        <v>8</v>
      </c>
      <c r="F220" s="18">
        <v>8</v>
      </c>
      <c r="G220" s="18">
        <v>5</v>
      </c>
      <c r="H220" s="18">
        <v>5</v>
      </c>
      <c r="I220" s="18">
        <v>5</v>
      </c>
      <c r="J220" s="18">
        <v>10</v>
      </c>
      <c r="K220" s="18">
        <v>10</v>
      </c>
      <c r="L220" s="18">
        <v>0</v>
      </c>
      <c r="M220" s="18">
        <v>2</v>
      </c>
      <c r="N220" s="18">
        <v>1</v>
      </c>
      <c r="O220" s="18">
        <v>5</v>
      </c>
      <c r="P220" s="18">
        <v>5</v>
      </c>
      <c r="Q220" s="18">
        <v>3</v>
      </c>
      <c r="R220" s="18">
        <v>8</v>
      </c>
      <c r="S220" s="18">
        <v>0</v>
      </c>
      <c r="T220" s="18">
        <v>12</v>
      </c>
      <c r="U220" s="18">
        <v>5</v>
      </c>
      <c r="V220" s="19">
        <f t="shared" si="3"/>
        <v>100</v>
      </c>
    </row>
    <row r="221" spans="1:22" ht="15" customHeight="1">
      <c r="A221" s="6" t="s">
        <v>710</v>
      </c>
      <c r="B221" s="7" t="s">
        <v>711</v>
      </c>
      <c r="C221" s="7" t="s">
        <v>703</v>
      </c>
      <c r="D221" s="18">
        <v>12</v>
      </c>
      <c r="E221" s="18">
        <v>8</v>
      </c>
      <c r="F221" s="18">
        <v>5</v>
      </c>
      <c r="G221" s="18">
        <v>3</v>
      </c>
      <c r="H221" s="18">
        <v>15</v>
      </c>
      <c r="I221" s="18">
        <v>10</v>
      </c>
      <c r="J221" s="18">
        <v>5</v>
      </c>
      <c r="K221" s="18">
        <v>15</v>
      </c>
      <c r="L221" s="18">
        <v>0</v>
      </c>
      <c r="M221" s="18">
        <v>3</v>
      </c>
      <c r="N221" s="18">
        <v>0</v>
      </c>
      <c r="O221" s="18">
        <v>5</v>
      </c>
      <c r="P221" s="18">
        <v>8</v>
      </c>
      <c r="Q221" s="18">
        <v>2</v>
      </c>
      <c r="R221" s="18">
        <v>3</v>
      </c>
      <c r="S221" s="18">
        <v>0</v>
      </c>
      <c r="T221" s="18">
        <v>3</v>
      </c>
      <c r="U221" s="18">
        <v>3</v>
      </c>
      <c r="V221" s="19">
        <f t="shared" si="3"/>
        <v>100</v>
      </c>
    </row>
    <row r="222" spans="1:22" ht="15" customHeight="1">
      <c r="A222" s="6" t="s">
        <v>712</v>
      </c>
      <c r="B222" s="7" t="s">
        <v>713</v>
      </c>
      <c r="C222" s="7" t="s">
        <v>703</v>
      </c>
      <c r="D222" s="18">
        <v>25</v>
      </c>
      <c r="E222" s="18">
        <v>5</v>
      </c>
      <c r="F222" s="18">
        <v>3</v>
      </c>
      <c r="G222" s="18">
        <v>3</v>
      </c>
      <c r="H222" s="18">
        <v>25</v>
      </c>
      <c r="I222" s="18">
        <v>5</v>
      </c>
      <c r="J222" s="18">
        <v>3</v>
      </c>
      <c r="K222" s="18">
        <v>3</v>
      </c>
      <c r="L222" s="18">
        <v>0</v>
      </c>
      <c r="M222" s="18">
        <v>5</v>
      </c>
      <c r="N222" s="18">
        <v>0</v>
      </c>
      <c r="O222" s="18">
        <v>3</v>
      </c>
      <c r="P222" s="18">
        <v>1</v>
      </c>
      <c r="Q222" s="18">
        <v>2</v>
      </c>
      <c r="R222" s="18">
        <v>5</v>
      </c>
      <c r="S222" s="18">
        <v>0</v>
      </c>
      <c r="T222" s="18">
        <v>8</v>
      </c>
      <c r="U222" s="18">
        <v>4</v>
      </c>
      <c r="V222" s="19">
        <f t="shared" si="3"/>
        <v>100</v>
      </c>
    </row>
    <row r="223" spans="1:22" ht="15" customHeight="1">
      <c r="A223" s="6" t="s">
        <v>714</v>
      </c>
      <c r="B223" s="7" t="s">
        <v>715</v>
      </c>
      <c r="C223" s="7" t="s">
        <v>703</v>
      </c>
      <c r="D223" s="18">
        <v>15</v>
      </c>
      <c r="E223" s="18">
        <v>8</v>
      </c>
      <c r="F223" s="18">
        <v>3</v>
      </c>
      <c r="G223" s="18">
        <v>3</v>
      </c>
      <c r="H223" s="18">
        <v>10</v>
      </c>
      <c r="I223" s="18">
        <v>10</v>
      </c>
      <c r="J223" s="18">
        <v>3</v>
      </c>
      <c r="K223" s="18">
        <v>20</v>
      </c>
      <c r="L223" s="18">
        <v>0</v>
      </c>
      <c r="M223" s="18">
        <v>3</v>
      </c>
      <c r="N223" s="18">
        <v>0</v>
      </c>
      <c r="O223" s="18">
        <v>3</v>
      </c>
      <c r="P223" s="18">
        <v>3</v>
      </c>
      <c r="Q223" s="18">
        <v>2</v>
      </c>
      <c r="R223" s="18">
        <v>3</v>
      </c>
      <c r="S223" s="18">
        <v>0</v>
      </c>
      <c r="T223" s="18">
        <v>10</v>
      </c>
      <c r="U223" s="18">
        <v>4</v>
      </c>
      <c r="V223" s="19">
        <f t="shared" si="3"/>
        <v>100</v>
      </c>
    </row>
    <row r="224" spans="1:22" ht="15" customHeight="1">
      <c r="A224" s="6" t="s">
        <v>716</v>
      </c>
      <c r="B224" s="7" t="s">
        <v>717</v>
      </c>
      <c r="C224" s="7" t="s">
        <v>703</v>
      </c>
      <c r="D224" s="18">
        <v>18</v>
      </c>
      <c r="E224" s="18">
        <v>8</v>
      </c>
      <c r="F224" s="18">
        <v>5</v>
      </c>
      <c r="G224" s="18">
        <v>3</v>
      </c>
      <c r="H224" s="18">
        <v>18</v>
      </c>
      <c r="I224" s="18">
        <v>8</v>
      </c>
      <c r="J224" s="18">
        <v>5</v>
      </c>
      <c r="K224" s="18">
        <v>8</v>
      </c>
      <c r="L224" s="18">
        <v>0</v>
      </c>
      <c r="M224" s="18">
        <v>3</v>
      </c>
      <c r="N224" s="18">
        <v>0</v>
      </c>
      <c r="O224" s="18">
        <v>3</v>
      </c>
      <c r="P224" s="18">
        <v>2</v>
      </c>
      <c r="Q224" s="18">
        <v>2</v>
      </c>
      <c r="R224" s="18">
        <v>5</v>
      </c>
      <c r="S224" s="18">
        <v>0</v>
      </c>
      <c r="T224" s="18">
        <v>8</v>
      </c>
      <c r="U224" s="18">
        <v>4</v>
      </c>
      <c r="V224" s="19">
        <f t="shared" si="3"/>
        <v>100</v>
      </c>
    </row>
    <row r="225" spans="1:22" ht="15" customHeight="1">
      <c r="A225" s="6" t="s">
        <v>718</v>
      </c>
      <c r="B225" s="7" t="s">
        <v>719</v>
      </c>
      <c r="C225" s="7" t="s">
        <v>703</v>
      </c>
      <c r="D225" s="18">
        <v>18</v>
      </c>
      <c r="E225" s="18">
        <v>8</v>
      </c>
      <c r="F225" s="18">
        <v>5</v>
      </c>
      <c r="G225" s="18">
        <v>3</v>
      </c>
      <c r="H225" s="18">
        <v>15</v>
      </c>
      <c r="I225" s="18">
        <v>8</v>
      </c>
      <c r="J225" s="18">
        <v>5</v>
      </c>
      <c r="K225" s="18">
        <v>8</v>
      </c>
      <c r="L225" s="18">
        <v>0</v>
      </c>
      <c r="M225" s="18">
        <v>3</v>
      </c>
      <c r="N225" s="18">
        <v>0</v>
      </c>
      <c r="O225" s="18">
        <v>3</v>
      </c>
      <c r="P225" s="18">
        <v>3</v>
      </c>
      <c r="Q225" s="18">
        <v>2</v>
      </c>
      <c r="R225" s="18">
        <v>5</v>
      </c>
      <c r="S225" s="18">
        <v>0</v>
      </c>
      <c r="T225" s="18">
        <v>10</v>
      </c>
      <c r="U225" s="18">
        <v>4</v>
      </c>
      <c r="V225" s="19">
        <f t="shared" si="3"/>
        <v>100</v>
      </c>
    </row>
    <row r="226" spans="1:22" ht="15" customHeight="1">
      <c r="A226" s="6" t="s">
        <v>720</v>
      </c>
      <c r="B226" s="7" t="s">
        <v>721</v>
      </c>
      <c r="C226" s="7" t="s">
        <v>703</v>
      </c>
      <c r="D226" s="18">
        <v>20</v>
      </c>
      <c r="E226" s="18">
        <v>8</v>
      </c>
      <c r="F226" s="18">
        <v>5</v>
      </c>
      <c r="G226" s="18">
        <v>3</v>
      </c>
      <c r="H226" s="18">
        <v>3</v>
      </c>
      <c r="I226" s="18">
        <v>15</v>
      </c>
      <c r="J226" s="18">
        <v>5</v>
      </c>
      <c r="K226" s="18">
        <v>5</v>
      </c>
      <c r="L226" s="18">
        <v>0</v>
      </c>
      <c r="M226" s="18">
        <v>3</v>
      </c>
      <c r="N226" s="18">
        <v>1</v>
      </c>
      <c r="O226" s="18">
        <v>2</v>
      </c>
      <c r="P226" s="18">
        <v>1</v>
      </c>
      <c r="Q226" s="18">
        <v>2</v>
      </c>
      <c r="R226" s="18">
        <v>3</v>
      </c>
      <c r="S226" s="18">
        <v>0</v>
      </c>
      <c r="T226" s="18">
        <v>18</v>
      </c>
      <c r="U226" s="18">
        <v>6</v>
      </c>
      <c r="V226" s="19">
        <f t="shared" si="3"/>
        <v>100</v>
      </c>
    </row>
    <row r="227" spans="1:22" ht="15" customHeight="1">
      <c r="A227" s="6" t="s">
        <v>722</v>
      </c>
      <c r="B227" s="7" t="s">
        <v>723</v>
      </c>
      <c r="C227" s="7" t="s">
        <v>703</v>
      </c>
      <c r="D227" s="18">
        <v>15</v>
      </c>
      <c r="E227" s="18">
        <v>8</v>
      </c>
      <c r="F227" s="18">
        <v>5</v>
      </c>
      <c r="G227" s="18">
        <v>3</v>
      </c>
      <c r="H227" s="18">
        <v>10</v>
      </c>
      <c r="I227" s="18">
        <v>12</v>
      </c>
      <c r="J227" s="18">
        <v>5</v>
      </c>
      <c r="K227" s="18">
        <v>12</v>
      </c>
      <c r="L227" s="18">
        <v>0</v>
      </c>
      <c r="M227" s="18">
        <v>3</v>
      </c>
      <c r="N227" s="18">
        <v>0</v>
      </c>
      <c r="O227" s="18">
        <v>5</v>
      </c>
      <c r="P227" s="18">
        <v>3</v>
      </c>
      <c r="Q227" s="18">
        <v>2</v>
      </c>
      <c r="R227" s="18">
        <v>3</v>
      </c>
      <c r="S227" s="18">
        <v>0</v>
      </c>
      <c r="T227" s="18">
        <v>10</v>
      </c>
      <c r="U227" s="18">
        <v>4</v>
      </c>
      <c r="V227" s="19">
        <f t="shared" si="3"/>
        <v>100</v>
      </c>
    </row>
    <row r="228" spans="1:22" ht="15" customHeight="1">
      <c r="A228" s="6" t="s">
        <v>724</v>
      </c>
      <c r="B228" s="7" t="s">
        <v>725</v>
      </c>
      <c r="C228" s="7" t="s">
        <v>703</v>
      </c>
      <c r="D228" s="18">
        <v>18</v>
      </c>
      <c r="E228" s="18">
        <v>5</v>
      </c>
      <c r="F228" s="18">
        <v>3</v>
      </c>
      <c r="G228" s="18">
        <v>3</v>
      </c>
      <c r="H228" s="18">
        <v>8</v>
      </c>
      <c r="I228" s="18">
        <v>12</v>
      </c>
      <c r="J228" s="18">
        <v>3</v>
      </c>
      <c r="K228" s="18">
        <v>5</v>
      </c>
      <c r="L228" s="18">
        <v>0</v>
      </c>
      <c r="M228" s="18">
        <v>5</v>
      </c>
      <c r="N228" s="18">
        <v>0</v>
      </c>
      <c r="O228" s="18">
        <v>3</v>
      </c>
      <c r="P228" s="18">
        <v>2</v>
      </c>
      <c r="Q228" s="18">
        <v>2</v>
      </c>
      <c r="R228" s="18">
        <v>5</v>
      </c>
      <c r="S228" s="18">
        <v>0</v>
      </c>
      <c r="T228" s="18">
        <v>18</v>
      </c>
      <c r="U228" s="18">
        <v>8</v>
      </c>
      <c r="V228" s="19">
        <f t="shared" si="3"/>
        <v>100</v>
      </c>
    </row>
    <row r="229" spans="1:22" ht="15" customHeight="1">
      <c r="A229" s="6" t="s">
        <v>726</v>
      </c>
      <c r="B229" s="7" t="s">
        <v>727</v>
      </c>
      <c r="C229" s="7" t="s">
        <v>703</v>
      </c>
      <c r="D229" s="18">
        <v>15</v>
      </c>
      <c r="E229" s="18">
        <v>8</v>
      </c>
      <c r="F229" s="18">
        <v>3</v>
      </c>
      <c r="G229" s="18">
        <v>10</v>
      </c>
      <c r="H229" s="18">
        <v>5</v>
      </c>
      <c r="I229" s="18">
        <v>8</v>
      </c>
      <c r="J229" s="18">
        <v>3</v>
      </c>
      <c r="K229" s="18">
        <v>8</v>
      </c>
      <c r="L229" s="18">
        <v>0</v>
      </c>
      <c r="M229" s="18">
        <v>3</v>
      </c>
      <c r="N229" s="18">
        <v>0</v>
      </c>
      <c r="O229" s="18">
        <v>3</v>
      </c>
      <c r="P229" s="18">
        <v>2</v>
      </c>
      <c r="Q229" s="18">
        <v>2</v>
      </c>
      <c r="R229" s="18">
        <v>5</v>
      </c>
      <c r="S229" s="18">
        <v>0</v>
      </c>
      <c r="T229" s="18">
        <v>15</v>
      </c>
      <c r="U229" s="18">
        <v>10</v>
      </c>
      <c r="V229" s="19">
        <f t="shared" si="3"/>
        <v>100</v>
      </c>
    </row>
    <row r="230" spans="1:22" ht="15" customHeight="1">
      <c r="A230" s="6" t="s">
        <v>728</v>
      </c>
      <c r="B230" s="7" t="s">
        <v>729</v>
      </c>
      <c r="C230" s="7" t="s">
        <v>703</v>
      </c>
      <c r="D230" s="18">
        <v>10</v>
      </c>
      <c r="E230" s="18">
        <v>5</v>
      </c>
      <c r="F230" s="18">
        <v>10</v>
      </c>
      <c r="G230" s="18">
        <v>5</v>
      </c>
      <c r="H230" s="18">
        <v>2</v>
      </c>
      <c r="I230" s="18">
        <v>15</v>
      </c>
      <c r="J230" s="18">
        <v>3</v>
      </c>
      <c r="K230" s="18">
        <v>12</v>
      </c>
      <c r="L230" s="18">
        <v>0</v>
      </c>
      <c r="M230" s="18">
        <v>3</v>
      </c>
      <c r="N230" s="18">
        <v>1</v>
      </c>
      <c r="O230" s="18">
        <v>2</v>
      </c>
      <c r="P230" s="18">
        <v>1</v>
      </c>
      <c r="Q230" s="18">
        <v>5</v>
      </c>
      <c r="R230" s="18">
        <v>2</v>
      </c>
      <c r="S230" s="18">
        <v>0</v>
      </c>
      <c r="T230" s="18">
        <v>18</v>
      </c>
      <c r="U230" s="18">
        <v>6</v>
      </c>
      <c r="V230" s="19">
        <f t="shared" si="3"/>
        <v>100</v>
      </c>
    </row>
    <row r="231" spans="1:22" ht="15" customHeight="1">
      <c r="A231" s="6" t="s">
        <v>730</v>
      </c>
      <c r="B231" s="7" t="s">
        <v>731</v>
      </c>
      <c r="C231" s="7" t="s">
        <v>703</v>
      </c>
      <c r="D231" s="18">
        <v>5</v>
      </c>
      <c r="E231" s="18">
        <v>8</v>
      </c>
      <c r="F231" s="18">
        <v>5</v>
      </c>
      <c r="G231" s="18">
        <v>12</v>
      </c>
      <c r="H231" s="18">
        <v>8</v>
      </c>
      <c r="I231" s="18">
        <v>5</v>
      </c>
      <c r="J231" s="18">
        <v>5</v>
      </c>
      <c r="K231" s="18">
        <v>8</v>
      </c>
      <c r="L231" s="18">
        <v>0</v>
      </c>
      <c r="M231" s="18">
        <v>3</v>
      </c>
      <c r="N231" s="18">
        <v>1</v>
      </c>
      <c r="O231" s="18">
        <v>5</v>
      </c>
      <c r="P231" s="18">
        <v>3</v>
      </c>
      <c r="Q231" s="18">
        <v>3</v>
      </c>
      <c r="R231" s="18">
        <v>18</v>
      </c>
      <c r="S231" s="18">
        <v>0</v>
      </c>
      <c r="T231" s="18">
        <v>8</v>
      </c>
      <c r="U231" s="18">
        <v>3</v>
      </c>
      <c r="V231" s="19">
        <f t="shared" si="3"/>
        <v>100</v>
      </c>
    </row>
    <row r="232" spans="1:22" ht="15" customHeight="1">
      <c r="A232" s="6" t="s">
        <v>732</v>
      </c>
      <c r="B232" s="7" t="s">
        <v>733</v>
      </c>
      <c r="C232" s="7" t="s">
        <v>703</v>
      </c>
      <c r="D232" s="18">
        <v>8</v>
      </c>
      <c r="E232" s="18">
        <v>8</v>
      </c>
      <c r="F232" s="18">
        <v>5</v>
      </c>
      <c r="G232" s="18">
        <v>10</v>
      </c>
      <c r="H232" s="18">
        <v>5</v>
      </c>
      <c r="I232" s="18">
        <v>5</v>
      </c>
      <c r="J232" s="18">
        <v>5</v>
      </c>
      <c r="K232" s="18">
        <v>8</v>
      </c>
      <c r="L232" s="18">
        <v>0</v>
      </c>
      <c r="M232" s="18">
        <v>3</v>
      </c>
      <c r="N232" s="18">
        <v>1</v>
      </c>
      <c r="O232" s="18">
        <v>3</v>
      </c>
      <c r="P232" s="18">
        <v>2</v>
      </c>
      <c r="Q232" s="18">
        <v>3</v>
      </c>
      <c r="R232" s="18">
        <v>18</v>
      </c>
      <c r="S232" s="18">
        <v>0</v>
      </c>
      <c r="T232" s="18">
        <v>10</v>
      </c>
      <c r="U232" s="18">
        <v>6</v>
      </c>
      <c r="V232" s="19">
        <f t="shared" si="3"/>
        <v>100</v>
      </c>
    </row>
    <row r="233" spans="1:22" ht="15" customHeight="1">
      <c r="A233" s="6" t="s">
        <v>734</v>
      </c>
      <c r="B233" s="7" t="s">
        <v>735</v>
      </c>
      <c r="C233" s="7" t="s">
        <v>703</v>
      </c>
      <c r="D233" s="18">
        <v>5</v>
      </c>
      <c r="E233" s="18">
        <v>5</v>
      </c>
      <c r="F233" s="18">
        <v>5</v>
      </c>
      <c r="G233" s="18">
        <v>8</v>
      </c>
      <c r="H233" s="18">
        <v>5</v>
      </c>
      <c r="I233" s="18">
        <v>5</v>
      </c>
      <c r="J233" s="18">
        <v>5</v>
      </c>
      <c r="K233" s="18">
        <v>18</v>
      </c>
      <c r="L233" s="18">
        <v>0</v>
      </c>
      <c r="M233" s="18">
        <v>3</v>
      </c>
      <c r="N233" s="18">
        <v>1</v>
      </c>
      <c r="O233" s="18">
        <v>8</v>
      </c>
      <c r="P233" s="18">
        <v>5</v>
      </c>
      <c r="Q233" s="18">
        <v>5</v>
      </c>
      <c r="R233" s="18">
        <v>12</v>
      </c>
      <c r="S233" s="18">
        <v>0</v>
      </c>
      <c r="T233" s="18">
        <v>5</v>
      </c>
      <c r="U233" s="18">
        <v>5</v>
      </c>
      <c r="V233" s="19">
        <f t="shared" si="3"/>
        <v>100</v>
      </c>
    </row>
    <row r="234" spans="1:22" ht="15" customHeight="1">
      <c r="A234" s="6" t="s">
        <v>736</v>
      </c>
      <c r="B234" s="7" t="s">
        <v>737</v>
      </c>
      <c r="C234" s="7" t="s">
        <v>703</v>
      </c>
      <c r="D234" s="18">
        <v>12</v>
      </c>
      <c r="E234" s="18">
        <v>10</v>
      </c>
      <c r="F234" s="18">
        <v>5</v>
      </c>
      <c r="G234" s="18">
        <v>5</v>
      </c>
      <c r="H234" s="18">
        <v>8</v>
      </c>
      <c r="I234" s="18">
        <v>8</v>
      </c>
      <c r="J234" s="18">
        <v>3</v>
      </c>
      <c r="K234" s="18">
        <v>18</v>
      </c>
      <c r="L234" s="18">
        <v>0</v>
      </c>
      <c r="M234" s="18">
        <v>3</v>
      </c>
      <c r="N234" s="18">
        <v>1</v>
      </c>
      <c r="O234" s="18">
        <v>3</v>
      </c>
      <c r="P234" s="18">
        <v>5</v>
      </c>
      <c r="Q234" s="18">
        <v>2</v>
      </c>
      <c r="R234" s="18">
        <v>3</v>
      </c>
      <c r="S234" s="18">
        <v>0</v>
      </c>
      <c r="T234" s="18">
        <v>10</v>
      </c>
      <c r="U234" s="18">
        <v>4</v>
      </c>
      <c r="V234" s="19">
        <f t="shared" si="3"/>
        <v>100</v>
      </c>
    </row>
    <row r="235" spans="1:22" ht="15" customHeight="1">
      <c r="A235" s="6" t="s">
        <v>738</v>
      </c>
      <c r="B235" s="7" t="s">
        <v>739</v>
      </c>
      <c r="C235" s="7" t="s">
        <v>703</v>
      </c>
      <c r="D235" s="18">
        <v>35</v>
      </c>
      <c r="E235" s="18">
        <v>5</v>
      </c>
      <c r="F235" s="18">
        <v>3</v>
      </c>
      <c r="G235" s="18">
        <v>2</v>
      </c>
      <c r="H235" s="18">
        <v>5</v>
      </c>
      <c r="I235" s="18">
        <v>12</v>
      </c>
      <c r="J235" s="18">
        <v>2</v>
      </c>
      <c r="K235" s="18">
        <v>3</v>
      </c>
      <c r="L235" s="18">
        <v>0</v>
      </c>
      <c r="M235" s="18">
        <v>5</v>
      </c>
      <c r="N235" s="18">
        <v>0</v>
      </c>
      <c r="O235" s="18">
        <v>1</v>
      </c>
      <c r="P235" s="18">
        <v>1</v>
      </c>
      <c r="Q235" s="18">
        <v>2</v>
      </c>
      <c r="R235" s="18">
        <v>2</v>
      </c>
      <c r="S235" s="18">
        <v>0</v>
      </c>
      <c r="T235" s="18">
        <v>15</v>
      </c>
      <c r="U235" s="18">
        <v>7</v>
      </c>
      <c r="V235" s="19">
        <f t="shared" si="3"/>
        <v>100</v>
      </c>
    </row>
    <row r="236" spans="1:22" ht="15" customHeight="1">
      <c r="A236" s="6" t="s">
        <v>740</v>
      </c>
      <c r="B236" s="7" t="s">
        <v>741</v>
      </c>
      <c r="C236" s="7" t="s">
        <v>703</v>
      </c>
      <c r="D236" s="18">
        <v>15</v>
      </c>
      <c r="E236" s="18">
        <v>10</v>
      </c>
      <c r="F236" s="18">
        <v>5</v>
      </c>
      <c r="G236" s="18">
        <v>8</v>
      </c>
      <c r="H236" s="18">
        <v>5</v>
      </c>
      <c r="I236" s="18">
        <v>8</v>
      </c>
      <c r="J236" s="18">
        <v>5</v>
      </c>
      <c r="K236" s="18">
        <v>10</v>
      </c>
      <c r="L236" s="18">
        <v>0</v>
      </c>
      <c r="M236" s="18">
        <v>3</v>
      </c>
      <c r="N236" s="18">
        <v>1</v>
      </c>
      <c r="O236" s="18">
        <v>3</v>
      </c>
      <c r="P236" s="18">
        <v>2</v>
      </c>
      <c r="Q236" s="18">
        <v>3</v>
      </c>
      <c r="R236" s="18">
        <v>5</v>
      </c>
      <c r="S236" s="18">
        <v>0</v>
      </c>
      <c r="T236" s="18">
        <v>12</v>
      </c>
      <c r="U236" s="18">
        <v>5</v>
      </c>
      <c r="V236" s="19">
        <f t="shared" si="3"/>
        <v>100</v>
      </c>
    </row>
    <row r="237" spans="1:22" ht="15" customHeight="1">
      <c r="A237" s="6" t="s">
        <v>742</v>
      </c>
      <c r="B237" s="7" t="s">
        <v>743</v>
      </c>
      <c r="C237" s="7" t="s">
        <v>744</v>
      </c>
      <c r="D237" s="18">
        <v>15</v>
      </c>
      <c r="E237" s="18">
        <v>15</v>
      </c>
      <c r="F237" s="18">
        <v>5</v>
      </c>
      <c r="G237" s="18">
        <v>15</v>
      </c>
      <c r="H237" s="18">
        <v>3</v>
      </c>
      <c r="I237" s="18">
        <v>8</v>
      </c>
      <c r="J237" s="18">
        <v>5</v>
      </c>
      <c r="K237" s="18">
        <v>12</v>
      </c>
      <c r="L237" s="18">
        <v>0</v>
      </c>
      <c r="M237" s="18">
        <v>2</v>
      </c>
      <c r="N237" s="18">
        <v>0</v>
      </c>
      <c r="O237" s="18">
        <v>1</v>
      </c>
      <c r="P237" s="18">
        <v>1</v>
      </c>
      <c r="Q237" s="18">
        <v>2</v>
      </c>
      <c r="R237" s="18">
        <v>2</v>
      </c>
      <c r="S237" s="18">
        <v>5</v>
      </c>
      <c r="T237" s="18">
        <v>5</v>
      </c>
      <c r="U237" s="18">
        <v>4</v>
      </c>
      <c r="V237" s="19">
        <f t="shared" si="3"/>
        <v>100</v>
      </c>
    </row>
    <row r="238" spans="1:22" ht="15" customHeight="1">
      <c r="A238" s="6" t="s">
        <v>745</v>
      </c>
      <c r="B238" s="7" t="s">
        <v>746</v>
      </c>
      <c r="C238" s="7" t="s">
        <v>744</v>
      </c>
      <c r="D238" s="18">
        <v>12</v>
      </c>
      <c r="E238" s="18">
        <v>18</v>
      </c>
      <c r="F238" s="18">
        <v>8</v>
      </c>
      <c r="G238" s="18">
        <v>12</v>
      </c>
      <c r="H238" s="18">
        <v>3</v>
      </c>
      <c r="I238" s="18">
        <v>5</v>
      </c>
      <c r="J238" s="18">
        <v>10</v>
      </c>
      <c r="K238" s="18">
        <v>10</v>
      </c>
      <c r="L238" s="18">
        <v>0</v>
      </c>
      <c r="M238" s="18">
        <v>2</v>
      </c>
      <c r="N238" s="18">
        <v>0</v>
      </c>
      <c r="O238" s="18">
        <v>1</v>
      </c>
      <c r="P238" s="18">
        <v>1</v>
      </c>
      <c r="Q238" s="18">
        <v>2</v>
      </c>
      <c r="R238" s="18">
        <v>2</v>
      </c>
      <c r="S238" s="18">
        <v>0</v>
      </c>
      <c r="T238" s="18">
        <v>10</v>
      </c>
      <c r="U238" s="18">
        <v>4</v>
      </c>
      <c r="V238" s="19">
        <f t="shared" si="3"/>
        <v>100</v>
      </c>
    </row>
    <row r="239" spans="1:22" ht="15" customHeight="1">
      <c r="A239" s="6" t="s">
        <v>747</v>
      </c>
      <c r="B239" s="7" t="s">
        <v>748</v>
      </c>
      <c r="C239" s="7" t="s">
        <v>744</v>
      </c>
      <c r="D239" s="18">
        <v>12</v>
      </c>
      <c r="E239" s="18">
        <v>12</v>
      </c>
      <c r="F239" s="18">
        <v>5</v>
      </c>
      <c r="G239" s="18">
        <v>18</v>
      </c>
      <c r="H239" s="18">
        <v>5</v>
      </c>
      <c r="I239" s="18">
        <v>5</v>
      </c>
      <c r="J239" s="18">
        <v>3</v>
      </c>
      <c r="K239" s="18">
        <v>15</v>
      </c>
      <c r="L239" s="18">
        <v>0</v>
      </c>
      <c r="M239" s="18">
        <v>2</v>
      </c>
      <c r="N239" s="18">
        <v>0</v>
      </c>
      <c r="O239" s="18">
        <v>1</v>
      </c>
      <c r="P239" s="18">
        <v>1</v>
      </c>
      <c r="Q239" s="18">
        <v>3</v>
      </c>
      <c r="R239" s="18">
        <v>3</v>
      </c>
      <c r="S239" s="18">
        <v>5</v>
      </c>
      <c r="T239" s="18">
        <v>5</v>
      </c>
      <c r="U239" s="18">
        <v>5</v>
      </c>
      <c r="V239" s="19">
        <f t="shared" si="3"/>
        <v>100</v>
      </c>
    </row>
    <row r="240" spans="1:22" ht="15" customHeight="1">
      <c r="A240" s="6" t="s">
        <v>749</v>
      </c>
      <c r="B240" s="7" t="s">
        <v>750</v>
      </c>
      <c r="C240" s="7" t="s">
        <v>744</v>
      </c>
      <c r="D240" s="18">
        <v>10</v>
      </c>
      <c r="E240" s="18">
        <v>12</v>
      </c>
      <c r="F240" s="18">
        <v>5</v>
      </c>
      <c r="G240" s="18">
        <v>15</v>
      </c>
      <c r="H240" s="18">
        <v>5</v>
      </c>
      <c r="I240" s="18">
        <v>5</v>
      </c>
      <c r="J240" s="18">
        <v>10</v>
      </c>
      <c r="K240" s="18">
        <v>10</v>
      </c>
      <c r="L240" s="18">
        <v>0</v>
      </c>
      <c r="M240" s="18">
        <v>2</v>
      </c>
      <c r="N240" s="18">
        <v>1</v>
      </c>
      <c r="O240" s="18">
        <v>3</v>
      </c>
      <c r="P240" s="18">
        <v>3</v>
      </c>
      <c r="Q240" s="18">
        <v>2</v>
      </c>
      <c r="R240" s="18">
        <v>5</v>
      </c>
      <c r="S240" s="18">
        <v>0</v>
      </c>
      <c r="T240" s="18">
        <v>8</v>
      </c>
      <c r="U240" s="18">
        <v>4</v>
      </c>
      <c r="V240" s="19">
        <f t="shared" si="3"/>
        <v>100</v>
      </c>
    </row>
    <row r="241" spans="1:22" ht="15" customHeight="1">
      <c r="A241" s="6" t="s">
        <v>751</v>
      </c>
      <c r="B241" s="7" t="s">
        <v>752</v>
      </c>
      <c r="C241" s="7" t="s">
        <v>744</v>
      </c>
      <c r="D241" s="18">
        <v>10</v>
      </c>
      <c r="E241" s="18">
        <v>15</v>
      </c>
      <c r="F241" s="18">
        <v>5</v>
      </c>
      <c r="G241" s="18">
        <v>20</v>
      </c>
      <c r="H241" s="18">
        <v>3</v>
      </c>
      <c r="I241" s="18">
        <v>5</v>
      </c>
      <c r="J241" s="18">
        <v>8</v>
      </c>
      <c r="K241" s="18">
        <v>12</v>
      </c>
      <c r="L241" s="18">
        <v>0</v>
      </c>
      <c r="M241" s="18">
        <v>2</v>
      </c>
      <c r="N241" s="18">
        <v>1</v>
      </c>
      <c r="O241" s="18">
        <v>2</v>
      </c>
      <c r="P241" s="18">
        <v>2</v>
      </c>
      <c r="Q241" s="18">
        <v>2</v>
      </c>
      <c r="R241" s="18">
        <v>3</v>
      </c>
      <c r="S241" s="18">
        <v>0</v>
      </c>
      <c r="T241" s="18">
        <v>5</v>
      </c>
      <c r="U241" s="18">
        <v>5</v>
      </c>
      <c r="V241" s="19">
        <f t="shared" si="3"/>
        <v>100</v>
      </c>
    </row>
    <row r="242" spans="1:22" ht="15" customHeight="1">
      <c r="A242" s="6" t="s">
        <v>753</v>
      </c>
      <c r="B242" s="7" t="s">
        <v>754</v>
      </c>
      <c r="C242" s="7" t="s">
        <v>744</v>
      </c>
      <c r="D242" s="18">
        <v>8</v>
      </c>
      <c r="E242" s="18">
        <v>10</v>
      </c>
      <c r="F242" s="18">
        <v>3</v>
      </c>
      <c r="G242" s="18">
        <v>15</v>
      </c>
      <c r="H242" s="18">
        <v>2</v>
      </c>
      <c r="I242" s="18">
        <v>5</v>
      </c>
      <c r="J242" s="18">
        <v>2</v>
      </c>
      <c r="K242" s="18">
        <v>30</v>
      </c>
      <c r="L242" s="18">
        <v>0</v>
      </c>
      <c r="M242" s="18">
        <v>2</v>
      </c>
      <c r="N242" s="18">
        <v>0</v>
      </c>
      <c r="O242" s="18">
        <v>1</v>
      </c>
      <c r="P242" s="18">
        <v>1</v>
      </c>
      <c r="Q242" s="18">
        <v>2</v>
      </c>
      <c r="R242" s="18">
        <v>2</v>
      </c>
      <c r="S242" s="18">
        <v>0</v>
      </c>
      <c r="T242" s="18">
        <v>12</v>
      </c>
      <c r="U242" s="18">
        <v>5</v>
      </c>
      <c r="V242" s="19">
        <f t="shared" si="3"/>
        <v>100</v>
      </c>
    </row>
    <row r="243" spans="1:22" ht="15" customHeight="1">
      <c r="A243" s="6" t="s">
        <v>755</v>
      </c>
      <c r="B243" s="7" t="s">
        <v>756</v>
      </c>
      <c r="C243" s="7" t="s">
        <v>744</v>
      </c>
      <c r="D243" s="18">
        <v>25</v>
      </c>
      <c r="E243" s="18">
        <v>18</v>
      </c>
      <c r="F243" s="18">
        <v>3</v>
      </c>
      <c r="G243" s="18">
        <v>5</v>
      </c>
      <c r="H243" s="18">
        <v>3</v>
      </c>
      <c r="I243" s="18">
        <v>5</v>
      </c>
      <c r="J243" s="18">
        <v>8</v>
      </c>
      <c r="K243" s="18">
        <v>5</v>
      </c>
      <c r="L243" s="18">
        <v>3</v>
      </c>
      <c r="M243" s="18">
        <v>2</v>
      </c>
      <c r="N243" s="18">
        <v>2</v>
      </c>
      <c r="O243" s="18">
        <v>1</v>
      </c>
      <c r="P243" s="18">
        <v>1</v>
      </c>
      <c r="Q243" s="18">
        <v>2</v>
      </c>
      <c r="R243" s="18">
        <v>2</v>
      </c>
      <c r="S243" s="18">
        <v>0</v>
      </c>
      <c r="T243" s="18">
        <v>10</v>
      </c>
      <c r="U243" s="18">
        <v>5</v>
      </c>
      <c r="V243" s="19">
        <f t="shared" si="3"/>
        <v>100</v>
      </c>
    </row>
    <row r="244" spans="1:22" ht="15" customHeight="1">
      <c r="A244" s="6" t="s">
        <v>757</v>
      </c>
      <c r="B244" s="7" t="s">
        <v>758</v>
      </c>
      <c r="C244" s="7" t="s">
        <v>759</v>
      </c>
      <c r="D244" s="18">
        <v>2</v>
      </c>
      <c r="E244" s="18">
        <v>2</v>
      </c>
      <c r="F244" s="18">
        <v>3</v>
      </c>
      <c r="G244" s="18">
        <v>3</v>
      </c>
      <c r="H244" s="18">
        <v>3</v>
      </c>
      <c r="I244" s="18">
        <v>2</v>
      </c>
      <c r="J244" s="18">
        <v>2</v>
      </c>
      <c r="K244" s="18">
        <v>3</v>
      </c>
      <c r="L244" s="18">
        <v>0</v>
      </c>
      <c r="M244" s="18">
        <v>5</v>
      </c>
      <c r="N244" s="18">
        <v>0</v>
      </c>
      <c r="O244" s="18">
        <v>10</v>
      </c>
      <c r="P244" s="18">
        <v>5</v>
      </c>
      <c r="Q244" s="18">
        <v>3</v>
      </c>
      <c r="R244" s="18">
        <v>8</v>
      </c>
      <c r="S244" s="18">
        <v>0</v>
      </c>
      <c r="T244" s="18">
        <v>18</v>
      </c>
      <c r="U244" s="18">
        <v>31</v>
      </c>
      <c r="V244" s="19">
        <f t="shared" si="3"/>
        <v>100</v>
      </c>
    </row>
    <row r="245" spans="1:22" ht="15" customHeight="1">
      <c r="A245" s="6" t="s">
        <v>760</v>
      </c>
      <c r="B245" s="7" t="s">
        <v>761</v>
      </c>
      <c r="C245" s="7" t="s">
        <v>759</v>
      </c>
      <c r="D245" s="18">
        <v>2</v>
      </c>
      <c r="E245" s="18">
        <v>2</v>
      </c>
      <c r="F245" s="18">
        <v>2</v>
      </c>
      <c r="G245" s="18">
        <v>3</v>
      </c>
      <c r="H245" s="18">
        <v>2</v>
      </c>
      <c r="I245" s="18">
        <v>2</v>
      </c>
      <c r="J245" s="18">
        <v>1</v>
      </c>
      <c r="K245" s="18">
        <v>5</v>
      </c>
      <c r="L245" s="18">
        <v>0</v>
      </c>
      <c r="M245" s="18">
        <v>5</v>
      </c>
      <c r="N245" s="18">
        <v>1</v>
      </c>
      <c r="O245" s="18">
        <v>3</v>
      </c>
      <c r="P245" s="18">
        <v>3</v>
      </c>
      <c r="Q245" s="18">
        <v>3</v>
      </c>
      <c r="R245" s="18">
        <v>3</v>
      </c>
      <c r="S245" s="18">
        <v>0</v>
      </c>
      <c r="T245" s="18">
        <v>25</v>
      </c>
      <c r="U245" s="18">
        <v>38</v>
      </c>
      <c r="V245" s="19">
        <f t="shared" si="3"/>
        <v>100</v>
      </c>
    </row>
    <row r="246" spans="1:22" ht="15" customHeight="1">
      <c r="A246" s="6" t="s">
        <v>762</v>
      </c>
      <c r="B246" s="7" t="s">
        <v>763</v>
      </c>
      <c r="C246" s="7" t="s">
        <v>759</v>
      </c>
      <c r="D246" s="18">
        <v>2</v>
      </c>
      <c r="E246" s="18">
        <v>2</v>
      </c>
      <c r="F246" s="18">
        <v>2</v>
      </c>
      <c r="G246" s="18">
        <v>3</v>
      </c>
      <c r="H246" s="18">
        <v>2</v>
      </c>
      <c r="I246" s="18">
        <v>2</v>
      </c>
      <c r="J246" s="18">
        <v>1</v>
      </c>
      <c r="K246" s="18">
        <v>5</v>
      </c>
      <c r="L246" s="18">
        <v>0</v>
      </c>
      <c r="M246" s="18">
        <v>3</v>
      </c>
      <c r="N246" s="18">
        <v>1</v>
      </c>
      <c r="O246" s="18">
        <v>3</v>
      </c>
      <c r="P246" s="18">
        <v>3</v>
      </c>
      <c r="Q246" s="18">
        <v>2</v>
      </c>
      <c r="R246" s="18">
        <v>3</v>
      </c>
      <c r="S246" s="18">
        <v>0</v>
      </c>
      <c r="T246" s="18">
        <v>25</v>
      </c>
      <c r="U246" s="18">
        <v>41</v>
      </c>
      <c r="V246" s="19">
        <f t="shared" si="3"/>
        <v>100</v>
      </c>
    </row>
    <row r="247" spans="1:22" ht="15" customHeight="1">
      <c r="A247" s="6" t="s">
        <v>764</v>
      </c>
      <c r="B247" s="7" t="s">
        <v>765</v>
      </c>
      <c r="C247" s="7" t="s">
        <v>759</v>
      </c>
      <c r="D247" s="18">
        <v>2</v>
      </c>
      <c r="E247" s="18">
        <v>1</v>
      </c>
      <c r="F247" s="18">
        <v>1</v>
      </c>
      <c r="G247" s="18">
        <v>3</v>
      </c>
      <c r="H247" s="18">
        <v>2</v>
      </c>
      <c r="I247" s="18">
        <v>2</v>
      </c>
      <c r="J247" s="18">
        <v>1</v>
      </c>
      <c r="K247" s="18">
        <v>3</v>
      </c>
      <c r="L247" s="18">
        <v>0</v>
      </c>
      <c r="M247" s="18">
        <v>3</v>
      </c>
      <c r="N247" s="18">
        <v>0</v>
      </c>
      <c r="O247" s="18">
        <v>3</v>
      </c>
      <c r="P247" s="18">
        <v>1</v>
      </c>
      <c r="Q247" s="18">
        <v>2</v>
      </c>
      <c r="R247" s="18">
        <v>3</v>
      </c>
      <c r="S247" s="18">
        <v>0</v>
      </c>
      <c r="T247" s="18">
        <v>25</v>
      </c>
      <c r="U247" s="18">
        <v>48</v>
      </c>
      <c r="V247" s="19">
        <f t="shared" si="3"/>
        <v>100</v>
      </c>
    </row>
    <row r="248" spans="1:22" ht="15" customHeight="1">
      <c r="A248" s="6" t="s">
        <v>766</v>
      </c>
      <c r="B248" s="7" t="s">
        <v>767</v>
      </c>
      <c r="C248" s="7" t="s">
        <v>759</v>
      </c>
      <c r="D248" s="18">
        <v>2</v>
      </c>
      <c r="E248" s="18">
        <v>2</v>
      </c>
      <c r="F248" s="18">
        <v>2</v>
      </c>
      <c r="G248" s="18">
        <v>3</v>
      </c>
      <c r="H248" s="18">
        <v>2</v>
      </c>
      <c r="I248" s="18">
        <v>2</v>
      </c>
      <c r="J248" s="18">
        <v>1</v>
      </c>
      <c r="K248" s="18">
        <v>3</v>
      </c>
      <c r="L248" s="18">
        <v>0</v>
      </c>
      <c r="M248" s="18">
        <v>5</v>
      </c>
      <c r="N248" s="18">
        <v>0</v>
      </c>
      <c r="O248" s="18">
        <v>5</v>
      </c>
      <c r="P248" s="18">
        <v>3</v>
      </c>
      <c r="Q248" s="18">
        <v>3</v>
      </c>
      <c r="R248" s="18">
        <v>3</v>
      </c>
      <c r="S248" s="18">
        <v>0</v>
      </c>
      <c r="T248" s="18">
        <v>20</v>
      </c>
      <c r="U248" s="18">
        <v>44</v>
      </c>
      <c r="V248" s="19">
        <f t="shared" si="3"/>
        <v>100</v>
      </c>
    </row>
    <row r="249" spans="1:22" ht="15" customHeight="1">
      <c r="A249" s="6" t="s">
        <v>768</v>
      </c>
      <c r="B249" s="7" t="s">
        <v>769</v>
      </c>
      <c r="C249" s="7" t="s">
        <v>770</v>
      </c>
      <c r="D249" s="18">
        <v>2</v>
      </c>
      <c r="E249" s="18">
        <v>1</v>
      </c>
      <c r="F249" s="18">
        <v>2</v>
      </c>
      <c r="G249" s="18">
        <v>2</v>
      </c>
      <c r="H249" s="18">
        <v>2</v>
      </c>
      <c r="I249" s="18">
        <v>3</v>
      </c>
      <c r="J249" s="18">
        <v>1</v>
      </c>
      <c r="K249" s="18">
        <v>2</v>
      </c>
      <c r="L249" s="18">
        <v>0</v>
      </c>
      <c r="M249" s="18">
        <v>8</v>
      </c>
      <c r="N249" s="18">
        <v>0</v>
      </c>
      <c r="O249" s="18">
        <v>3</v>
      </c>
      <c r="P249" s="18">
        <v>1</v>
      </c>
      <c r="Q249" s="18">
        <v>3</v>
      </c>
      <c r="R249" s="18">
        <v>3</v>
      </c>
      <c r="S249" s="18">
        <v>0</v>
      </c>
      <c r="T249" s="18">
        <v>50</v>
      </c>
      <c r="U249" s="18">
        <v>17</v>
      </c>
      <c r="V249" s="19">
        <f t="shared" si="3"/>
        <v>100</v>
      </c>
    </row>
    <row r="250" spans="1:22" ht="15" customHeight="1">
      <c r="A250" s="6" t="s">
        <v>771</v>
      </c>
      <c r="B250" s="7" t="s">
        <v>772</v>
      </c>
      <c r="C250" s="7" t="s">
        <v>770</v>
      </c>
      <c r="D250" s="18">
        <v>2</v>
      </c>
      <c r="E250" s="18">
        <v>1</v>
      </c>
      <c r="F250" s="18">
        <v>2</v>
      </c>
      <c r="G250" s="18">
        <v>2</v>
      </c>
      <c r="H250" s="18">
        <v>2</v>
      </c>
      <c r="I250" s="18">
        <v>3</v>
      </c>
      <c r="J250" s="18">
        <v>1</v>
      </c>
      <c r="K250" s="18">
        <v>2</v>
      </c>
      <c r="L250" s="18">
        <v>0</v>
      </c>
      <c r="M250" s="18">
        <v>8</v>
      </c>
      <c r="N250" s="18">
        <v>0</v>
      </c>
      <c r="O250" s="18">
        <v>3</v>
      </c>
      <c r="P250" s="18">
        <v>1</v>
      </c>
      <c r="Q250" s="18">
        <v>3</v>
      </c>
      <c r="R250" s="18">
        <v>3</v>
      </c>
      <c r="S250" s="18">
        <v>0</v>
      </c>
      <c r="T250" s="18">
        <v>50</v>
      </c>
      <c r="U250" s="18">
        <v>17</v>
      </c>
      <c r="V250" s="19">
        <f t="shared" si="3"/>
        <v>100</v>
      </c>
    </row>
    <row r="251" spans="1:22" ht="15" customHeight="1">
      <c r="A251" s="6" t="s">
        <v>773</v>
      </c>
      <c r="B251" s="7" t="s">
        <v>774</v>
      </c>
      <c r="C251" s="7" t="s">
        <v>770</v>
      </c>
      <c r="D251" s="18">
        <v>2</v>
      </c>
      <c r="E251" s="18">
        <v>1</v>
      </c>
      <c r="F251" s="18">
        <v>2</v>
      </c>
      <c r="G251" s="18">
        <v>2</v>
      </c>
      <c r="H251" s="18">
        <v>2</v>
      </c>
      <c r="I251" s="18">
        <v>3</v>
      </c>
      <c r="J251" s="18">
        <v>1</v>
      </c>
      <c r="K251" s="18">
        <v>2</v>
      </c>
      <c r="L251" s="18">
        <v>0</v>
      </c>
      <c r="M251" s="18">
        <v>12</v>
      </c>
      <c r="N251" s="18">
        <v>0</v>
      </c>
      <c r="O251" s="18">
        <v>3</v>
      </c>
      <c r="P251" s="18">
        <v>1</v>
      </c>
      <c r="Q251" s="18">
        <v>3</v>
      </c>
      <c r="R251" s="18">
        <v>3</v>
      </c>
      <c r="S251" s="18">
        <v>0</v>
      </c>
      <c r="T251" s="18">
        <v>50</v>
      </c>
      <c r="U251" s="18">
        <v>13</v>
      </c>
      <c r="V251" s="19">
        <f t="shared" si="3"/>
        <v>100</v>
      </c>
    </row>
    <row r="252" spans="1:22" ht="15" customHeight="1">
      <c r="A252" s="6" t="s">
        <v>775</v>
      </c>
      <c r="B252" s="7" t="s">
        <v>776</v>
      </c>
      <c r="C252" s="7" t="s">
        <v>770</v>
      </c>
      <c r="D252" s="18">
        <v>2</v>
      </c>
      <c r="E252" s="18">
        <v>1</v>
      </c>
      <c r="F252" s="18">
        <v>2</v>
      </c>
      <c r="G252" s="18">
        <v>2</v>
      </c>
      <c r="H252" s="18">
        <v>2</v>
      </c>
      <c r="I252" s="18">
        <v>3</v>
      </c>
      <c r="J252" s="18">
        <v>1</v>
      </c>
      <c r="K252" s="18">
        <v>3</v>
      </c>
      <c r="L252" s="18">
        <v>0</v>
      </c>
      <c r="M252" s="18">
        <v>12</v>
      </c>
      <c r="N252" s="18">
        <v>0</v>
      </c>
      <c r="O252" s="18">
        <v>3</v>
      </c>
      <c r="P252" s="18">
        <v>1</v>
      </c>
      <c r="Q252" s="18">
        <v>3</v>
      </c>
      <c r="R252" s="18">
        <v>3</v>
      </c>
      <c r="S252" s="18">
        <v>0</v>
      </c>
      <c r="T252" s="18">
        <v>50</v>
      </c>
      <c r="U252" s="18">
        <v>12</v>
      </c>
      <c r="V252" s="19">
        <f t="shared" si="3"/>
        <v>100</v>
      </c>
    </row>
    <row r="253" spans="1:22" ht="15" customHeight="1">
      <c r="A253" s="6" t="s">
        <v>777</v>
      </c>
      <c r="B253" s="7" t="s">
        <v>778</v>
      </c>
      <c r="C253" s="7" t="s">
        <v>770</v>
      </c>
      <c r="D253" s="18">
        <v>3</v>
      </c>
      <c r="E253" s="18">
        <v>2</v>
      </c>
      <c r="F253" s="18">
        <v>3</v>
      </c>
      <c r="G253" s="18">
        <v>5</v>
      </c>
      <c r="H253" s="18">
        <v>3</v>
      </c>
      <c r="I253" s="18">
        <v>3</v>
      </c>
      <c r="J253" s="18">
        <v>2</v>
      </c>
      <c r="K253" s="18">
        <v>5</v>
      </c>
      <c r="L253" s="18">
        <v>0</v>
      </c>
      <c r="M253" s="18">
        <v>12</v>
      </c>
      <c r="N253" s="18">
        <v>0</v>
      </c>
      <c r="O253" s="18">
        <v>5</v>
      </c>
      <c r="P253" s="18">
        <v>2</v>
      </c>
      <c r="Q253" s="18">
        <v>3</v>
      </c>
      <c r="R253" s="18">
        <v>5</v>
      </c>
      <c r="S253" s="18">
        <v>0</v>
      </c>
      <c r="T253" s="18">
        <v>35</v>
      </c>
      <c r="U253" s="18">
        <v>12</v>
      </c>
      <c r="V253" s="19">
        <f t="shared" si="3"/>
        <v>100</v>
      </c>
    </row>
    <row r="254" spans="1:22" ht="15" customHeight="1">
      <c r="A254" s="6" t="s">
        <v>779</v>
      </c>
      <c r="B254" s="7" t="s">
        <v>780</v>
      </c>
      <c r="C254" s="7" t="s">
        <v>770</v>
      </c>
      <c r="D254" s="18">
        <v>3</v>
      </c>
      <c r="E254" s="18">
        <v>2</v>
      </c>
      <c r="F254" s="18">
        <v>3</v>
      </c>
      <c r="G254" s="18">
        <v>3</v>
      </c>
      <c r="H254" s="18">
        <v>2</v>
      </c>
      <c r="I254" s="18">
        <v>3</v>
      </c>
      <c r="J254" s="18">
        <v>2</v>
      </c>
      <c r="K254" s="18">
        <v>5</v>
      </c>
      <c r="L254" s="18">
        <v>0</v>
      </c>
      <c r="M254" s="18">
        <v>15</v>
      </c>
      <c r="N254" s="18">
        <v>0</v>
      </c>
      <c r="O254" s="18">
        <v>5</v>
      </c>
      <c r="P254" s="18">
        <v>2</v>
      </c>
      <c r="Q254" s="18">
        <v>3</v>
      </c>
      <c r="R254" s="18">
        <v>5</v>
      </c>
      <c r="S254" s="18">
        <v>0</v>
      </c>
      <c r="T254" s="18">
        <v>40</v>
      </c>
      <c r="U254" s="18">
        <v>7</v>
      </c>
      <c r="V254" s="19">
        <f t="shared" si="3"/>
        <v>100</v>
      </c>
    </row>
    <row r="255" spans="1:22" ht="15" customHeight="1">
      <c r="A255" s="6" t="s">
        <v>781</v>
      </c>
      <c r="B255" s="7" t="s">
        <v>782</v>
      </c>
      <c r="C255" s="7" t="s">
        <v>770</v>
      </c>
      <c r="D255" s="18">
        <v>2</v>
      </c>
      <c r="E255" s="18">
        <v>1</v>
      </c>
      <c r="F255" s="18">
        <v>2</v>
      </c>
      <c r="G255" s="18">
        <v>2</v>
      </c>
      <c r="H255" s="18">
        <v>2</v>
      </c>
      <c r="I255" s="18">
        <v>2</v>
      </c>
      <c r="J255" s="18">
        <v>1</v>
      </c>
      <c r="K255" s="18">
        <v>3</v>
      </c>
      <c r="L255" s="18">
        <v>0</v>
      </c>
      <c r="M255" s="18">
        <v>10</v>
      </c>
      <c r="N255" s="18">
        <v>0</v>
      </c>
      <c r="O255" s="18">
        <v>3</v>
      </c>
      <c r="P255" s="18">
        <v>2</v>
      </c>
      <c r="Q255" s="18">
        <v>3</v>
      </c>
      <c r="R255" s="18">
        <v>3</v>
      </c>
      <c r="S255" s="18">
        <v>0</v>
      </c>
      <c r="T255" s="18">
        <v>50</v>
      </c>
      <c r="U255" s="18">
        <v>14</v>
      </c>
      <c r="V255" s="19">
        <f t="shared" si="3"/>
        <v>100</v>
      </c>
    </row>
    <row r="256" spans="1:22" ht="15" customHeight="1">
      <c r="A256" s="6" t="s">
        <v>783</v>
      </c>
      <c r="B256" s="7" t="s">
        <v>784</v>
      </c>
      <c r="C256" s="7" t="s">
        <v>770</v>
      </c>
      <c r="D256" s="18">
        <v>2</v>
      </c>
      <c r="E256" s="18">
        <v>1</v>
      </c>
      <c r="F256" s="18">
        <v>1</v>
      </c>
      <c r="G256" s="18">
        <v>2</v>
      </c>
      <c r="H256" s="18">
        <v>2</v>
      </c>
      <c r="I256" s="18">
        <v>2</v>
      </c>
      <c r="J256" s="18">
        <v>1</v>
      </c>
      <c r="K256" s="18">
        <v>3</v>
      </c>
      <c r="L256" s="18">
        <v>0</v>
      </c>
      <c r="M256" s="18">
        <v>5</v>
      </c>
      <c r="N256" s="18">
        <v>0</v>
      </c>
      <c r="O256" s="18">
        <v>3</v>
      </c>
      <c r="P256" s="18">
        <v>2</v>
      </c>
      <c r="Q256" s="18">
        <v>3</v>
      </c>
      <c r="R256" s="18">
        <v>3</v>
      </c>
      <c r="S256" s="18">
        <v>0</v>
      </c>
      <c r="T256" s="18">
        <v>50</v>
      </c>
      <c r="U256" s="18">
        <v>20</v>
      </c>
      <c r="V256" s="19">
        <f t="shared" si="3"/>
        <v>100</v>
      </c>
    </row>
    <row r="257" spans="1:22" ht="15" customHeight="1">
      <c r="A257" s="6" t="s">
        <v>785</v>
      </c>
      <c r="B257" s="7" t="s">
        <v>786</v>
      </c>
      <c r="C257" s="7" t="s">
        <v>770</v>
      </c>
      <c r="D257" s="18">
        <v>3</v>
      </c>
      <c r="E257" s="18">
        <v>2</v>
      </c>
      <c r="F257" s="18">
        <v>5</v>
      </c>
      <c r="G257" s="18">
        <v>3</v>
      </c>
      <c r="H257" s="18">
        <v>3</v>
      </c>
      <c r="I257" s="18">
        <v>5</v>
      </c>
      <c r="J257" s="18">
        <v>3</v>
      </c>
      <c r="K257" s="18">
        <v>2</v>
      </c>
      <c r="L257" s="18">
        <v>0</v>
      </c>
      <c r="M257" s="18">
        <v>20</v>
      </c>
      <c r="N257" s="18">
        <v>0</v>
      </c>
      <c r="O257" s="18">
        <v>8</v>
      </c>
      <c r="P257" s="18">
        <v>1</v>
      </c>
      <c r="Q257" s="18">
        <v>3</v>
      </c>
      <c r="R257" s="18">
        <v>5</v>
      </c>
      <c r="S257" s="18">
        <v>0</v>
      </c>
      <c r="T257" s="18">
        <v>30</v>
      </c>
      <c r="U257" s="18">
        <v>7</v>
      </c>
      <c r="V257" s="19">
        <f t="shared" si="3"/>
        <v>100</v>
      </c>
    </row>
    <row r="258" spans="1:22" ht="15" customHeight="1">
      <c r="A258" s="6" t="s">
        <v>787</v>
      </c>
      <c r="B258" s="7" t="s">
        <v>788</v>
      </c>
      <c r="C258" s="7" t="s">
        <v>770</v>
      </c>
      <c r="D258" s="18">
        <v>2</v>
      </c>
      <c r="E258" s="18">
        <v>1</v>
      </c>
      <c r="F258" s="18">
        <v>3</v>
      </c>
      <c r="G258" s="18">
        <v>2</v>
      </c>
      <c r="H258" s="18">
        <v>2</v>
      </c>
      <c r="I258" s="18">
        <v>3</v>
      </c>
      <c r="J258" s="18">
        <v>2</v>
      </c>
      <c r="K258" s="18">
        <v>2</v>
      </c>
      <c r="L258" s="18">
        <v>0</v>
      </c>
      <c r="M258" s="18">
        <v>10</v>
      </c>
      <c r="N258" s="18">
        <v>0</v>
      </c>
      <c r="O258" s="18">
        <v>5</v>
      </c>
      <c r="P258" s="18">
        <v>2</v>
      </c>
      <c r="Q258" s="18">
        <v>3</v>
      </c>
      <c r="R258" s="18">
        <v>3</v>
      </c>
      <c r="S258" s="18">
        <v>0</v>
      </c>
      <c r="T258" s="18">
        <v>40</v>
      </c>
      <c r="U258" s="18">
        <v>20</v>
      </c>
      <c r="V258" s="19">
        <f t="shared" ref="V258:V321" si="4">SUM(D258:U258)</f>
        <v>100</v>
      </c>
    </row>
    <row r="259" spans="1:22" ht="15" customHeight="1">
      <c r="A259" s="6" t="s">
        <v>789</v>
      </c>
      <c r="B259" s="7" t="s">
        <v>790</v>
      </c>
      <c r="C259" s="7" t="s">
        <v>770</v>
      </c>
      <c r="D259" s="18">
        <v>3</v>
      </c>
      <c r="E259" s="18">
        <v>2</v>
      </c>
      <c r="F259" s="18">
        <v>3</v>
      </c>
      <c r="G259" s="18">
        <v>5</v>
      </c>
      <c r="H259" s="18">
        <v>3</v>
      </c>
      <c r="I259" s="18">
        <v>3</v>
      </c>
      <c r="J259" s="18">
        <v>2</v>
      </c>
      <c r="K259" s="18">
        <v>5</v>
      </c>
      <c r="L259" s="18">
        <v>0</v>
      </c>
      <c r="M259" s="18">
        <v>12</v>
      </c>
      <c r="N259" s="18">
        <v>0</v>
      </c>
      <c r="O259" s="18">
        <v>5</v>
      </c>
      <c r="P259" s="18">
        <v>2</v>
      </c>
      <c r="Q259" s="18">
        <v>3</v>
      </c>
      <c r="R259" s="18">
        <v>5</v>
      </c>
      <c r="S259" s="18">
        <v>0</v>
      </c>
      <c r="T259" s="18">
        <v>35</v>
      </c>
      <c r="U259" s="18">
        <v>12</v>
      </c>
      <c r="V259" s="19">
        <f t="shared" si="4"/>
        <v>100</v>
      </c>
    </row>
    <row r="260" spans="1:22" ht="15" customHeight="1">
      <c r="A260" s="6" t="s">
        <v>791</v>
      </c>
      <c r="B260" s="7" t="s">
        <v>792</v>
      </c>
      <c r="C260" s="7" t="s">
        <v>770</v>
      </c>
      <c r="D260" s="18">
        <v>3</v>
      </c>
      <c r="E260" s="18">
        <v>2</v>
      </c>
      <c r="F260" s="18">
        <v>3</v>
      </c>
      <c r="G260" s="18">
        <v>5</v>
      </c>
      <c r="H260" s="18">
        <v>3</v>
      </c>
      <c r="I260" s="18">
        <v>3</v>
      </c>
      <c r="J260" s="18">
        <v>3</v>
      </c>
      <c r="K260" s="18">
        <v>5</v>
      </c>
      <c r="L260" s="18">
        <v>0</v>
      </c>
      <c r="M260" s="18">
        <v>18</v>
      </c>
      <c r="N260" s="18">
        <v>0</v>
      </c>
      <c r="O260" s="18">
        <v>5</v>
      </c>
      <c r="P260" s="18">
        <v>2</v>
      </c>
      <c r="Q260" s="18">
        <v>3</v>
      </c>
      <c r="R260" s="18">
        <v>5</v>
      </c>
      <c r="S260" s="18">
        <v>0</v>
      </c>
      <c r="T260" s="18">
        <v>30</v>
      </c>
      <c r="U260" s="18">
        <v>10</v>
      </c>
      <c r="V260" s="19">
        <f t="shared" si="4"/>
        <v>100</v>
      </c>
    </row>
    <row r="261" spans="1:22" ht="15" customHeight="1">
      <c r="A261" s="6" t="s">
        <v>793</v>
      </c>
      <c r="B261" s="7" t="s">
        <v>794</v>
      </c>
      <c r="C261" s="7" t="s">
        <v>770</v>
      </c>
      <c r="D261" s="18">
        <v>3</v>
      </c>
      <c r="E261" s="18">
        <v>2</v>
      </c>
      <c r="F261" s="18">
        <v>3</v>
      </c>
      <c r="G261" s="18">
        <v>3</v>
      </c>
      <c r="H261" s="18">
        <v>2</v>
      </c>
      <c r="I261" s="18">
        <v>3</v>
      </c>
      <c r="J261" s="18">
        <v>2</v>
      </c>
      <c r="K261" s="18">
        <v>5</v>
      </c>
      <c r="L261" s="18">
        <v>0</v>
      </c>
      <c r="M261" s="18">
        <v>20</v>
      </c>
      <c r="N261" s="18">
        <v>2</v>
      </c>
      <c r="O261" s="18">
        <v>5</v>
      </c>
      <c r="P261" s="18">
        <v>2</v>
      </c>
      <c r="Q261" s="18">
        <v>3</v>
      </c>
      <c r="R261" s="18">
        <v>3</v>
      </c>
      <c r="S261" s="18">
        <v>0</v>
      </c>
      <c r="T261" s="18">
        <v>35</v>
      </c>
      <c r="U261" s="18">
        <v>7</v>
      </c>
      <c r="V261" s="19">
        <f t="shared" si="4"/>
        <v>100</v>
      </c>
    </row>
    <row r="262" spans="1:22" ht="15" customHeight="1">
      <c r="A262" s="6" t="s">
        <v>795</v>
      </c>
      <c r="B262" s="7" t="s">
        <v>796</v>
      </c>
      <c r="C262" s="7" t="s">
        <v>770</v>
      </c>
      <c r="D262" s="18">
        <v>3</v>
      </c>
      <c r="E262" s="18">
        <v>3</v>
      </c>
      <c r="F262" s="18">
        <v>5</v>
      </c>
      <c r="G262" s="18">
        <v>5</v>
      </c>
      <c r="H262" s="18">
        <v>3</v>
      </c>
      <c r="I262" s="18">
        <v>5</v>
      </c>
      <c r="J262" s="18">
        <v>3</v>
      </c>
      <c r="K262" s="18">
        <v>8</v>
      </c>
      <c r="L262" s="18">
        <v>0</v>
      </c>
      <c r="M262" s="18">
        <v>25</v>
      </c>
      <c r="N262" s="18">
        <v>0</v>
      </c>
      <c r="O262" s="18">
        <v>5</v>
      </c>
      <c r="P262" s="18">
        <v>2</v>
      </c>
      <c r="Q262" s="18">
        <v>5</v>
      </c>
      <c r="R262" s="18">
        <v>5</v>
      </c>
      <c r="S262" s="18">
        <v>0</v>
      </c>
      <c r="T262" s="18">
        <v>18</v>
      </c>
      <c r="U262" s="18">
        <v>5</v>
      </c>
      <c r="V262" s="19">
        <f t="shared" si="4"/>
        <v>100</v>
      </c>
    </row>
    <row r="263" spans="1:22" ht="15" customHeight="1">
      <c r="A263" s="6" t="s">
        <v>797</v>
      </c>
      <c r="B263" s="7" t="s">
        <v>798</v>
      </c>
      <c r="C263" s="7" t="s">
        <v>770</v>
      </c>
      <c r="D263" s="18">
        <v>3</v>
      </c>
      <c r="E263" s="18">
        <v>2</v>
      </c>
      <c r="F263" s="18">
        <v>3</v>
      </c>
      <c r="G263" s="18">
        <v>5</v>
      </c>
      <c r="H263" s="18">
        <v>3</v>
      </c>
      <c r="I263" s="18">
        <v>3</v>
      </c>
      <c r="J263" s="18">
        <v>2</v>
      </c>
      <c r="K263" s="18">
        <v>5</v>
      </c>
      <c r="L263" s="18">
        <v>0</v>
      </c>
      <c r="M263" s="18">
        <v>10</v>
      </c>
      <c r="N263" s="18">
        <v>0</v>
      </c>
      <c r="O263" s="18">
        <v>5</v>
      </c>
      <c r="P263" s="18">
        <v>2</v>
      </c>
      <c r="Q263" s="18">
        <v>3</v>
      </c>
      <c r="R263" s="18">
        <v>5</v>
      </c>
      <c r="S263" s="18">
        <v>0</v>
      </c>
      <c r="T263" s="18">
        <v>35</v>
      </c>
      <c r="U263" s="18">
        <v>14</v>
      </c>
      <c r="V263" s="19">
        <f t="shared" si="4"/>
        <v>100</v>
      </c>
    </row>
    <row r="264" spans="1:22" ht="15" customHeight="1">
      <c r="A264" s="6" t="s">
        <v>799</v>
      </c>
      <c r="B264" s="7" t="s">
        <v>800</v>
      </c>
      <c r="C264" s="7" t="s">
        <v>770</v>
      </c>
      <c r="D264" s="18">
        <v>3</v>
      </c>
      <c r="E264" s="18">
        <v>2</v>
      </c>
      <c r="F264" s="18">
        <v>2</v>
      </c>
      <c r="G264" s="18">
        <v>5</v>
      </c>
      <c r="H264" s="18">
        <v>2</v>
      </c>
      <c r="I264" s="18">
        <v>3</v>
      </c>
      <c r="J264" s="18">
        <v>2</v>
      </c>
      <c r="K264" s="18">
        <v>3</v>
      </c>
      <c r="L264" s="18">
        <v>0</v>
      </c>
      <c r="M264" s="18">
        <v>8</v>
      </c>
      <c r="N264" s="18">
        <v>0</v>
      </c>
      <c r="O264" s="18">
        <v>3</v>
      </c>
      <c r="P264" s="18">
        <v>1</v>
      </c>
      <c r="Q264" s="18">
        <v>3</v>
      </c>
      <c r="R264" s="18">
        <v>3</v>
      </c>
      <c r="S264" s="18">
        <v>0</v>
      </c>
      <c r="T264" s="18">
        <v>30</v>
      </c>
      <c r="U264" s="18">
        <v>30</v>
      </c>
      <c r="V264" s="19">
        <f t="shared" si="4"/>
        <v>100</v>
      </c>
    </row>
    <row r="265" spans="1:22" ht="15" customHeight="1">
      <c r="A265" s="6" t="s">
        <v>801</v>
      </c>
      <c r="B265" s="7" t="s">
        <v>802</v>
      </c>
      <c r="C265" s="7" t="s">
        <v>770</v>
      </c>
      <c r="D265" s="18">
        <v>3</v>
      </c>
      <c r="E265" s="18">
        <v>2</v>
      </c>
      <c r="F265" s="18">
        <v>3</v>
      </c>
      <c r="G265" s="18">
        <v>5</v>
      </c>
      <c r="H265" s="18">
        <v>3</v>
      </c>
      <c r="I265" s="18">
        <v>5</v>
      </c>
      <c r="J265" s="18">
        <v>2</v>
      </c>
      <c r="K265" s="18">
        <v>8</v>
      </c>
      <c r="L265" s="18">
        <v>0</v>
      </c>
      <c r="M265" s="18">
        <v>15</v>
      </c>
      <c r="N265" s="18">
        <v>0</v>
      </c>
      <c r="O265" s="18">
        <v>5</v>
      </c>
      <c r="P265" s="18">
        <v>3</v>
      </c>
      <c r="Q265" s="18">
        <v>3</v>
      </c>
      <c r="R265" s="18">
        <v>5</v>
      </c>
      <c r="S265" s="18">
        <v>0</v>
      </c>
      <c r="T265" s="18">
        <v>28</v>
      </c>
      <c r="U265" s="18">
        <v>10</v>
      </c>
      <c r="V265" s="19">
        <f t="shared" si="4"/>
        <v>100</v>
      </c>
    </row>
    <row r="266" spans="1:22" ht="15" customHeight="1">
      <c r="A266" s="6" t="s">
        <v>803</v>
      </c>
      <c r="B266" s="7" t="s">
        <v>804</v>
      </c>
      <c r="C266" s="7" t="s">
        <v>770</v>
      </c>
      <c r="D266" s="18">
        <v>3</v>
      </c>
      <c r="E266" s="18">
        <v>2</v>
      </c>
      <c r="F266" s="18">
        <v>3</v>
      </c>
      <c r="G266" s="18">
        <v>5</v>
      </c>
      <c r="H266" s="18">
        <v>3</v>
      </c>
      <c r="I266" s="18">
        <v>3</v>
      </c>
      <c r="J266" s="18">
        <v>2</v>
      </c>
      <c r="K266" s="18">
        <v>5</v>
      </c>
      <c r="L266" s="18">
        <v>0</v>
      </c>
      <c r="M266" s="18">
        <v>12</v>
      </c>
      <c r="N266" s="18">
        <v>0</v>
      </c>
      <c r="O266" s="18">
        <v>5</v>
      </c>
      <c r="P266" s="18">
        <v>2</v>
      </c>
      <c r="Q266" s="18">
        <v>3</v>
      </c>
      <c r="R266" s="18">
        <v>5</v>
      </c>
      <c r="S266" s="18">
        <v>0</v>
      </c>
      <c r="T266" s="18">
        <v>35</v>
      </c>
      <c r="U266" s="18">
        <v>12</v>
      </c>
      <c r="V266" s="19">
        <f t="shared" si="4"/>
        <v>100</v>
      </c>
    </row>
    <row r="267" spans="1:22" ht="15" customHeight="1">
      <c r="A267" s="6" t="s">
        <v>805</v>
      </c>
      <c r="B267" s="7" t="s">
        <v>806</v>
      </c>
      <c r="C267" s="7" t="s">
        <v>770</v>
      </c>
      <c r="D267" s="18">
        <v>3</v>
      </c>
      <c r="E267" s="18">
        <v>2</v>
      </c>
      <c r="F267" s="18">
        <v>3</v>
      </c>
      <c r="G267" s="18">
        <v>5</v>
      </c>
      <c r="H267" s="18">
        <v>3</v>
      </c>
      <c r="I267" s="18">
        <v>5</v>
      </c>
      <c r="J267" s="18">
        <v>2</v>
      </c>
      <c r="K267" s="18">
        <v>5</v>
      </c>
      <c r="L267" s="18">
        <v>0</v>
      </c>
      <c r="M267" s="18">
        <v>15</v>
      </c>
      <c r="N267" s="18">
        <v>0</v>
      </c>
      <c r="O267" s="18">
        <v>5</v>
      </c>
      <c r="P267" s="18">
        <v>2</v>
      </c>
      <c r="Q267" s="18">
        <v>3</v>
      </c>
      <c r="R267" s="18">
        <v>5</v>
      </c>
      <c r="S267" s="18">
        <v>0</v>
      </c>
      <c r="T267" s="18">
        <v>30</v>
      </c>
      <c r="U267" s="18">
        <v>12</v>
      </c>
      <c r="V267" s="19">
        <f t="shared" si="4"/>
        <v>100</v>
      </c>
    </row>
    <row r="268" spans="1:22" ht="15" customHeight="1">
      <c r="A268" s="6" t="s">
        <v>807</v>
      </c>
      <c r="B268" s="7" t="s">
        <v>808</v>
      </c>
      <c r="C268" s="7" t="s">
        <v>770</v>
      </c>
      <c r="D268" s="18">
        <v>3</v>
      </c>
      <c r="E268" s="18">
        <v>3</v>
      </c>
      <c r="F268" s="18">
        <v>3</v>
      </c>
      <c r="G268" s="18">
        <v>5</v>
      </c>
      <c r="H268" s="18">
        <v>5</v>
      </c>
      <c r="I268" s="18">
        <v>5</v>
      </c>
      <c r="J268" s="18">
        <v>3</v>
      </c>
      <c r="K268" s="18">
        <v>5</v>
      </c>
      <c r="L268" s="18">
        <v>0</v>
      </c>
      <c r="M268" s="18">
        <v>10</v>
      </c>
      <c r="N268" s="18">
        <v>0</v>
      </c>
      <c r="O268" s="18">
        <v>8</v>
      </c>
      <c r="P268" s="18">
        <v>3</v>
      </c>
      <c r="Q268" s="18">
        <v>5</v>
      </c>
      <c r="R268" s="18">
        <v>18</v>
      </c>
      <c r="S268" s="18">
        <v>0</v>
      </c>
      <c r="T268" s="18">
        <v>15</v>
      </c>
      <c r="U268" s="18">
        <v>9</v>
      </c>
      <c r="V268" s="19">
        <f t="shared" si="4"/>
        <v>100</v>
      </c>
    </row>
    <row r="269" spans="1:22" ht="15" customHeight="1">
      <c r="A269" s="6" t="s">
        <v>809</v>
      </c>
      <c r="B269" s="7" t="s">
        <v>810</v>
      </c>
      <c r="C269" s="7" t="s">
        <v>811</v>
      </c>
      <c r="D269" s="18">
        <v>2</v>
      </c>
      <c r="E269" s="18">
        <v>1</v>
      </c>
      <c r="F269" s="18">
        <v>1</v>
      </c>
      <c r="G269" s="18">
        <v>2</v>
      </c>
      <c r="H269" s="18">
        <v>2</v>
      </c>
      <c r="I269" s="18">
        <v>2</v>
      </c>
      <c r="J269" s="18">
        <v>1</v>
      </c>
      <c r="K269" s="18">
        <v>2</v>
      </c>
      <c r="L269" s="18">
        <v>0</v>
      </c>
      <c r="M269" s="18">
        <v>5</v>
      </c>
      <c r="N269" s="18">
        <v>0</v>
      </c>
      <c r="O269" s="18">
        <v>3</v>
      </c>
      <c r="P269" s="18">
        <v>1</v>
      </c>
      <c r="Q269" s="18">
        <v>3</v>
      </c>
      <c r="R269" s="18">
        <v>3</v>
      </c>
      <c r="S269" s="18">
        <v>0</v>
      </c>
      <c r="T269" s="18">
        <v>30</v>
      </c>
      <c r="U269" s="18">
        <v>42</v>
      </c>
      <c r="V269" s="19">
        <f t="shared" si="4"/>
        <v>100</v>
      </c>
    </row>
    <row r="270" spans="1:22" ht="15" customHeight="1">
      <c r="A270" s="6" t="s">
        <v>812</v>
      </c>
      <c r="B270" s="7" t="s">
        <v>813</v>
      </c>
      <c r="C270" s="7" t="s">
        <v>811</v>
      </c>
      <c r="D270" s="18">
        <v>2</v>
      </c>
      <c r="E270" s="18">
        <v>1</v>
      </c>
      <c r="F270" s="18">
        <v>1</v>
      </c>
      <c r="G270" s="18">
        <v>2</v>
      </c>
      <c r="H270" s="18">
        <v>2</v>
      </c>
      <c r="I270" s="18">
        <v>2</v>
      </c>
      <c r="J270" s="18">
        <v>1</v>
      </c>
      <c r="K270" s="18">
        <v>2</v>
      </c>
      <c r="L270" s="18">
        <v>0</v>
      </c>
      <c r="M270" s="18">
        <v>5</v>
      </c>
      <c r="N270" s="18">
        <v>1</v>
      </c>
      <c r="O270" s="18">
        <v>3</v>
      </c>
      <c r="P270" s="18">
        <v>1</v>
      </c>
      <c r="Q270" s="18">
        <v>3</v>
      </c>
      <c r="R270" s="18">
        <v>3</v>
      </c>
      <c r="S270" s="18">
        <v>0</v>
      </c>
      <c r="T270" s="18">
        <v>40</v>
      </c>
      <c r="U270" s="18">
        <v>31</v>
      </c>
      <c r="V270" s="19">
        <f t="shared" si="4"/>
        <v>100</v>
      </c>
    </row>
    <row r="271" spans="1:22" ht="15" customHeight="1">
      <c r="A271" s="6" t="s">
        <v>814</v>
      </c>
      <c r="B271" s="7" t="s">
        <v>815</v>
      </c>
      <c r="C271" s="7" t="s">
        <v>811</v>
      </c>
      <c r="D271" s="18">
        <v>2</v>
      </c>
      <c r="E271" s="18">
        <v>1</v>
      </c>
      <c r="F271" s="18">
        <v>1</v>
      </c>
      <c r="G271" s="18">
        <v>2</v>
      </c>
      <c r="H271" s="18">
        <v>2</v>
      </c>
      <c r="I271" s="18">
        <v>2</v>
      </c>
      <c r="J271" s="18">
        <v>1</v>
      </c>
      <c r="K271" s="18">
        <v>2</v>
      </c>
      <c r="L271" s="18">
        <v>0</v>
      </c>
      <c r="M271" s="18">
        <v>3</v>
      </c>
      <c r="N271" s="18">
        <v>0</v>
      </c>
      <c r="O271" s="18">
        <v>3</v>
      </c>
      <c r="P271" s="18">
        <v>1</v>
      </c>
      <c r="Q271" s="18">
        <v>3</v>
      </c>
      <c r="R271" s="18">
        <v>3</v>
      </c>
      <c r="S271" s="18">
        <v>0</v>
      </c>
      <c r="T271" s="18">
        <v>30</v>
      </c>
      <c r="U271" s="18">
        <v>44</v>
      </c>
      <c r="V271" s="19">
        <f t="shared" si="4"/>
        <v>100</v>
      </c>
    </row>
    <row r="272" spans="1:22" ht="15" customHeight="1">
      <c r="A272" s="6" t="s">
        <v>816</v>
      </c>
      <c r="B272" s="7" t="s">
        <v>817</v>
      </c>
      <c r="C272" s="7" t="s">
        <v>811</v>
      </c>
      <c r="D272" s="18">
        <v>2</v>
      </c>
      <c r="E272" s="18">
        <v>1</v>
      </c>
      <c r="F272" s="18">
        <v>1</v>
      </c>
      <c r="G272" s="18">
        <v>2</v>
      </c>
      <c r="H272" s="18">
        <v>2</v>
      </c>
      <c r="I272" s="18">
        <v>2</v>
      </c>
      <c r="J272" s="18">
        <v>1</v>
      </c>
      <c r="K272" s="18">
        <v>2</v>
      </c>
      <c r="L272" s="18">
        <v>0</v>
      </c>
      <c r="M272" s="18">
        <v>3</v>
      </c>
      <c r="N272" s="18">
        <v>0</v>
      </c>
      <c r="O272" s="18">
        <v>3</v>
      </c>
      <c r="P272" s="18">
        <v>1</v>
      </c>
      <c r="Q272" s="18">
        <v>3</v>
      </c>
      <c r="R272" s="18">
        <v>3</v>
      </c>
      <c r="S272" s="18">
        <v>0</v>
      </c>
      <c r="T272" s="18">
        <v>25</v>
      </c>
      <c r="U272" s="18">
        <v>49</v>
      </c>
      <c r="V272" s="19">
        <f t="shared" si="4"/>
        <v>100</v>
      </c>
    </row>
    <row r="273" spans="1:22" ht="15" customHeight="1">
      <c r="A273" s="6" t="s">
        <v>818</v>
      </c>
      <c r="B273" s="7" t="s">
        <v>819</v>
      </c>
      <c r="C273" s="7" t="s">
        <v>811</v>
      </c>
      <c r="D273" s="18">
        <v>3</v>
      </c>
      <c r="E273" s="18">
        <v>2</v>
      </c>
      <c r="F273" s="18">
        <v>3</v>
      </c>
      <c r="G273" s="18">
        <v>5</v>
      </c>
      <c r="H273" s="18">
        <v>3</v>
      </c>
      <c r="I273" s="18">
        <v>3</v>
      </c>
      <c r="J273" s="18">
        <v>2</v>
      </c>
      <c r="K273" s="18">
        <v>5</v>
      </c>
      <c r="L273" s="18">
        <v>0</v>
      </c>
      <c r="M273" s="18">
        <v>12</v>
      </c>
      <c r="N273" s="18">
        <v>0</v>
      </c>
      <c r="O273" s="18">
        <v>5</v>
      </c>
      <c r="P273" s="18">
        <v>3</v>
      </c>
      <c r="Q273" s="18">
        <v>3</v>
      </c>
      <c r="R273" s="18">
        <v>5</v>
      </c>
      <c r="S273" s="18">
        <v>0</v>
      </c>
      <c r="T273" s="18">
        <v>35</v>
      </c>
      <c r="U273" s="18">
        <v>11</v>
      </c>
      <c r="V273" s="19">
        <f t="shared" si="4"/>
        <v>100</v>
      </c>
    </row>
    <row r="274" spans="1:22" ht="15" customHeight="1">
      <c r="A274" s="6" t="s">
        <v>820</v>
      </c>
      <c r="B274" s="7" t="s">
        <v>821</v>
      </c>
      <c r="C274" s="7" t="s">
        <v>811</v>
      </c>
      <c r="D274" s="18">
        <v>2</v>
      </c>
      <c r="E274" s="18">
        <v>1</v>
      </c>
      <c r="F274" s="18">
        <v>2</v>
      </c>
      <c r="G274" s="18">
        <v>2</v>
      </c>
      <c r="H274" s="18">
        <v>2</v>
      </c>
      <c r="I274" s="18">
        <v>2</v>
      </c>
      <c r="J274" s="18">
        <v>2</v>
      </c>
      <c r="K274" s="18">
        <v>2</v>
      </c>
      <c r="L274" s="18">
        <v>0</v>
      </c>
      <c r="M274" s="18">
        <v>5</v>
      </c>
      <c r="N274" s="18">
        <v>1</v>
      </c>
      <c r="O274" s="18">
        <v>3</v>
      </c>
      <c r="P274" s="18">
        <v>2</v>
      </c>
      <c r="Q274" s="18">
        <v>3</v>
      </c>
      <c r="R274" s="18">
        <v>3</v>
      </c>
      <c r="S274" s="18">
        <v>0</v>
      </c>
      <c r="T274" s="18">
        <v>35</v>
      </c>
      <c r="U274" s="18">
        <v>33</v>
      </c>
      <c r="V274" s="19">
        <f t="shared" si="4"/>
        <v>100</v>
      </c>
    </row>
    <row r="275" spans="1:22" ht="15" customHeight="1">
      <c r="A275" s="6" t="s">
        <v>822</v>
      </c>
      <c r="B275" s="7" t="s">
        <v>823</v>
      </c>
      <c r="C275" s="7" t="s">
        <v>811</v>
      </c>
      <c r="D275" s="18">
        <v>2</v>
      </c>
      <c r="E275" s="18">
        <v>1</v>
      </c>
      <c r="F275" s="18">
        <v>1</v>
      </c>
      <c r="G275" s="18">
        <v>2</v>
      </c>
      <c r="H275" s="18">
        <v>2</v>
      </c>
      <c r="I275" s="18">
        <v>2</v>
      </c>
      <c r="J275" s="18">
        <v>1</v>
      </c>
      <c r="K275" s="18">
        <v>3</v>
      </c>
      <c r="L275" s="18">
        <v>0</v>
      </c>
      <c r="M275" s="18">
        <v>5</v>
      </c>
      <c r="N275" s="18">
        <v>0</v>
      </c>
      <c r="O275" s="18">
        <v>3</v>
      </c>
      <c r="P275" s="18">
        <v>2</v>
      </c>
      <c r="Q275" s="18">
        <v>3</v>
      </c>
      <c r="R275" s="18">
        <v>3</v>
      </c>
      <c r="S275" s="18">
        <v>0</v>
      </c>
      <c r="T275" s="18">
        <v>39</v>
      </c>
      <c r="U275" s="18">
        <v>31</v>
      </c>
      <c r="V275" s="19">
        <f t="shared" si="4"/>
        <v>100</v>
      </c>
    </row>
    <row r="276" spans="1:22" ht="15" customHeight="1">
      <c r="A276" s="6" t="s">
        <v>824</v>
      </c>
      <c r="B276" s="7" t="s">
        <v>825</v>
      </c>
      <c r="C276" s="7" t="s">
        <v>811</v>
      </c>
      <c r="D276" s="18">
        <v>2</v>
      </c>
      <c r="E276" s="18">
        <v>1</v>
      </c>
      <c r="F276" s="18">
        <v>2</v>
      </c>
      <c r="G276" s="18">
        <v>3</v>
      </c>
      <c r="H276" s="18">
        <v>2</v>
      </c>
      <c r="I276" s="18">
        <v>2</v>
      </c>
      <c r="J276" s="18">
        <v>2</v>
      </c>
      <c r="K276" s="18">
        <v>3</v>
      </c>
      <c r="L276" s="18">
        <v>0</v>
      </c>
      <c r="M276" s="18">
        <v>5</v>
      </c>
      <c r="N276" s="18">
        <v>0</v>
      </c>
      <c r="O276" s="18">
        <v>3</v>
      </c>
      <c r="P276" s="18">
        <v>2</v>
      </c>
      <c r="Q276" s="18">
        <v>3</v>
      </c>
      <c r="R276" s="18">
        <v>3</v>
      </c>
      <c r="S276" s="18">
        <v>0</v>
      </c>
      <c r="T276" s="18">
        <v>30</v>
      </c>
      <c r="U276" s="18">
        <v>37</v>
      </c>
      <c r="V276" s="19">
        <f t="shared" si="4"/>
        <v>100</v>
      </c>
    </row>
    <row r="277" spans="1:22" ht="15" customHeight="1">
      <c r="A277" s="6" t="s">
        <v>826</v>
      </c>
      <c r="B277" s="7" t="s">
        <v>827</v>
      </c>
      <c r="C277" s="7" t="s">
        <v>811</v>
      </c>
      <c r="D277" s="18">
        <v>2</v>
      </c>
      <c r="E277" s="18">
        <v>1</v>
      </c>
      <c r="F277" s="18">
        <v>1</v>
      </c>
      <c r="G277" s="18">
        <v>2</v>
      </c>
      <c r="H277" s="18">
        <v>2</v>
      </c>
      <c r="I277" s="18">
        <v>2</v>
      </c>
      <c r="J277" s="18">
        <v>1</v>
      </c>
      <c r="K277" s="18">
        <v>2</v>
      </c>
      <c r="L277" s="18">
        <v>0</v>
      </c>
      <c r="M277" s="18">
        <v>3</v>
      </c>
      <c r="N277" s="18">
        <v>0</v>
      </c>
      <c r="O277" s="18">
        <v>3</v>
      </c>
      <c r="P277" s="18">
        <v>1</v>
      </c>
      <c r="Q277" s="18">
        <v>3</v>
      </c>
      <c r="R277" s="18">
        <v>3</v>
      </c>
      <c r="S277" s="18">
        <v>0</v>
      </c>
      <c r="T277" s="18">
        <v>39</v>
      </c>
      <c r="U277" s="18">
        <v>35</v>
      </c>
      <c r="V277" s="19">
        <f t="shared" si="4"/>
        <v>100</v>
      </c>
    </row>
    <row r="278" spans="1:22" ht="15" customHeight="1">
      <c r="A278" s="6" t="s">
        <v>828</v>
      </c>
      <c r="B278" s="7" t="s">
        <v>829</v>
      </c>
      <c r="C278" s="7" t="s">
        <v>811</v>
      </c>
      <c r="D278" s="18">
        <v>2</v>
      </c>
      <c r="E278" s="18">
        <v>1</v>
      </c>
      <c r="F278" s="18">
        <v>1</v>
      </c>
      <c r="G278" s="18">
        <v>2</v>
      </c>
      <c r="H278" s="18">
        <v>2</v>
      </c>
      <c r="I278" s="18">
        <v>2</v>
      </c>
      <c r="J278" s="18">
        <v>1</v>
      </c>
      <c r="K278" s="18">
        <v>3</v>
      </c>
      <c r="L278" s="18">
        <v>0</v>
      </c>
      <c r="M278" s="18">
        <v>3</v>
      </c>
      <c r="N278" s="18">
        <v>0</v>
      </c>
      <c r="O278" s="18">
        <v>3</v>
      </c>
      <c r="P278" s="18">
        <v>2</v>
      </c>
      <c r="Q278" s="18">
        <v>3</v>
      </c>
      <c r="R278" s="18">
        <v>3</v>
      </c>
      <c r="S278" s="18">
        <v>0</v>
      </c>
      <c r="T278" s="18">
        <v>39</v>
      </c>
      <c r="U278" s="18">
        <v>33</v>
      </c>
      <c r="V278" s="19">
        <f t="shared" si="4"/>
        <v>100</v>
      </c>
    </row>
    <row r="279" spans="1:22" ht="15" customHeight="1">
      <c r="A279" s="6" t="s">
        <v>830</v>
      </c>
      <c r="B279" s="7" t="s">
        <v>831</v>
      </c>
      <c r="C279" s="7" t="s">
        <v>811</v>
      </c>
      <c r="D279" s="18">
        <v>2</v>
      </c>
      <c r="E279" s="18">
        <v>1</v>
      </c>
      <c r="F279" s="18">
        <v>1</v>
      </c>
      <c r="G279" s="18">
        <v>2</v>
      </c>
      <c r="H279" s="18">
        <v>2</v>
      </c>
      <c r="I279" s="18">
        <v>2</v>
      </c>
      <c r="J279" s="18">
        <v>1</v>
      </c>
      <c r="K279" s="18">
        <v>3</v>
      </c>
      <c r="L279" s="18">
        <v>0</v>
      </c>
      <c r="M279" s="18">
        <v>3</v>
      </c>
      <c r="N279" s="18">
        <v>0</v>
      </c>
      <c r="O279" s="18">
        <v>3</v>
      </c>
      <c r="P279" s="18">
        <v>2</v>
      </c>
      <c r="Q279" s="18">
        <v>3</v>
      </c>
      <c r="R279" s="18">
        <v>3</v>
      </c>
      <c r="S279" s="18">
        <v>0</v>
      </c>
      <c r="T279" s="18">
        <v>39</v>
      </c>
      <c r="U279" s="18">
        <v>33</v>
      </c>
      <c r="V279" s="19">
        <f t="shared" si="4"/>
        <v>100</v>
      </c>
    </row>
    <row r="280" spans="1:22" ht="15" customHeight="1">
      <c r="A280" s="6" t="s">
        <v>832</v>
      </c>
      <c r="B280" s="7" t="s">
        <v>833</v>
      </c>
      <c r="C280" s="7" t="s">
        <v>811</v>
      </c>
      <c r="D280" s="18">
        <v>3</v>
      </c>
      <c r="E280" s="18">
        <v>3</v>
      </c>
      <c r="F280" s="18">
        <v>3</v>
      </c>
      <c r="G280" s="18">
        <v>5</v>
      </c>
      <c r="H280" s="18">
        <v>5</v>
      </c>
      <c r="I280" s="18">
        <v>5</v>
      </c>
      <c r="J280" s="18">
        <v>3</v>
      </c>
      <c r="K280" s="18">
        <v>5</v>
      </c>
      <c r="L280" s="18">
        <v>0</v>
      </c>
      <c r="M280" s="18">
        <v>8</v>
      </c>
      <c r="N280" s="18">
        <v>0</v>
      </c>
      <c r="O280" s="18">
        <v>8</v>
      </c>
      <c r="P280" s="18">
        <v>3</v>
      </c>
      <c r="Q280" s="18">
        <v>5</v>
      </c>
      <c r="R280" s="18">
        <v>18</v>
      </c>
      <c r="S280" s="18">
        <v>0</v>
      </c>
      <c r="T280" s="18">
        <v>15</v>
      </c>
      <c r="U280" s="18">
        <v>11</v>
      </c>
      <c r="V280" s="19">
        <f t="shared" si="4"/>
        <v>100</v>
      </c>
    </row>
    <row r="281" spans="1:22" ht="15" customHeight="1">
      <c r="A281" s="6" t="s">
        <v>834</v>
      </c>
      <c r="B281" s="7" t="s">
        <v>835</v>
      </c>
      <c r="C281" s="7" t="s">
        <v>836</v>
      </c>
      <c r="D281" s="18">
        <v>2</v>
      </c>
      <c r="E281" s="18">
        <v>1</v>
      </c>
      <c r="F281" s="18">
        <v>1</v>
      </c>
      <c r="G281" s="18">
        <v>2</v>
      </c>
      <c r="H281" s="18">
        <v>2</v>
      </c>
      <c r="I281" s="18">
        <v>2</v>
      </c>
      <c r="J281" s="18">
        <v>1</v>
      </c>
      <c r="K281" s="18">
        <v>2</v>
      </c>
      <c r="L281" s="18">
        <v>0</v>
      </c>
      <c r="M281" s="18">
        <v>5</v>
      </c>
      <c r="N281" s="18">
        <v>2</v>
      </c>
      <c r="O281" s="18">
        <v>3</v>
      </c>
      <c r="P281" s="18">
        <v>1</v>
      </c>
      <c r="Q281" s="18">
        <v>3</v>
      </c>
      <c r="R281" s="18">
        <v>3</v>
      </c>
      <c r="S281" s="18">
        <v>0</v>
      </c>
      <c r="T281" s="18">
        <v>50</v>
      </c>
      <c r="U281" s="18">
        <v>20</v>
      </c>
      <c r="V281" s="19">
        <f t="shared" si="4"/>
        <v>100</v>
      </c>
    </row>
    <row r="282" spans="1:22" ht="15" customHeight="1">
      <c r="A282" s="6" t="s">
        <v>837</v>
      </c>
      <c r="B282" s="7" t="s">
        <v>838</v>
      </c>
      <c r="C282" s="7" t="s">
        <v>836</v>
      </c>
      <c r="D282" s="18">
        <v>2</v>
      </c>
      <c r="E282" s="18">
        <v>1</v>
      </c>
      <c r="F282" s="18">
        <v>1</v>
      </c>
      <c r="G282" s="18">
        <v>2</v>
      </c>
      <c r="H282" s="18">
        <v>2</v>
      </c>
      <c r="I282" s="18">
        <v>2</v>
      </c>
      <c r="J282" s="18">
        <v>1</v>
      </c>
      <c r="K282" s="18">
        <v>3</v>
      </c>
      <c r="L282" s="18">
        <v>0</v>
      </c>
      <c r="M282" s="18">
        <v>5</v>
      </c>
      <c r="N282" s="18">
        <v>3</v>
      </c>
      <c r="O282" s="18">
        <v>3</v>
      </c>
      <c r="P282" s="18">
        <v>2</v>
      </c>
      <c r="Q282" s="18">
        <v>3</v>
      </c>
      <c r="R282" s="18">
        <v>3</v>
      </c>
      <c r="S282" s="18">
        <v>0</v>
      </c>
      <c r="T282" s="18">
        <v>45</v>
      </c>
      <c r="U282" s="18">
        <v>22</v>
      </c>
      <c r="V282" s="19">
        <f t="shared" si="4"/>
        <v>100</v>
      </c>
    </row>
    <row r="283" spans="1:22" ht="15" customHeight="1">
      <c r="A283" s="6" t="s">
        <v>839</v>
      </c>
      <c r="B283" s="7" t="s">
        <v>840</v>
      </c>
      <c r="C283" s="7" t="s">
        <v>836</v>
      </c>
      <c r="D283" s="18">
        <v>2</v>
      </c>
      <c r="E283" s="18">
        <v>1</v>
      </c>
      <c r="F283" s="18">
        <v>1</v>
      </c>
      <c r="G283" s="18">
        <v>2</v>
      </c>
      <c r="H283" s="18">
        <v>2</v>
      </c>
      <c r="I283" s="18">
        <v>2</v>
      </c>
      <c r="J283" s="18">
        <v>1</v>
      </c>
      <c r="K283" s="18">
        <v>3</v>
      </c>
      <c r="L283" s="18">
        <v>0</v>
      </c>
      <c r="M283" s="18">
        <v>5</v>
      </c>
      <c r="N283" s="18">
        <v>3</v>
      </c>
      <c r="O283" s="18">
        <v>3</v>
      </c>
      <c r="P283" s="18">
        <v>2</v>
      </c>
      <c r="Q283" s="18">
        <v>3</v>
      </c>
      <c r="R283" s="18">
        <v>3</v>
      </c>
      <c r="S283" s="18">
        <v>0</v>
      </c>
      <c r="T283" s="18">
        <v>45</v>
      </c>
      <c r="U283" s="18">
        <v>22</v>
      </c>
      <c r="V283" s="19">
        <f t="shared" si="4"/>
        <v>100</v>
      </c>
    </row>
    <row r="284" spans="1:22" ht="15" customHeight="1">
      <c r="A284" s="6" t="s">
        <v>841</v>
      </c>
      <c r="B284" s="7" t="s">
        <v>842</v>
      </c>
      <c r="C284" s="7" t="s">
        <v>836</v>
      </c>
      <c r="D284" s="18">
        <v>2</v>
      </c>
      <c r="E284" s="18">
        <v>2</v>
      </c>
      <c r="F284" s="18">
        <v>2</v>
      </c>
      <c r="G284" s="18">
        <v>2</v>
      </c>
      <c r="H284" s="18">
        <v>2</v>
      </c>
      <c r="I284" s="18">
        <v>3</v>
      </c>
      <c r="J284" s="18">
        <v>1</v>
      </c>
      <c r="K284" s="18">
        <v>3</v>
      </c>
      <c r="L284" s="18">
        <v>0</v>
      </c>
      <c r="M284" s="18">
        <v>5</v>
      </c>
      <c r="N284" s="18">
        <v>5</v>
      </c>
      <c r="O284" s="18">
        <v>3</v>
      </c>
      <c r="P284" s="18">
        <v>2</v>
      </c>
      <c r="Q284" s="18">
        <v>3</v>
      </c>
      <c r="R284" s="18">
        <v>3</v>
      </c>
      <c r="S284" s="18">
        <v>0</v>
      </c>
      <c r="T284" s="18">
        <v>40</v>
      </c>
      <c r="U284" s="18">
        <v>22</v>
      </c>
      <c r="V284" s="19">
        <f t="shared" si="4"/>
        <v>100</v>
      </c>
    </row>
    <row r="285" spans="1:22" ht="15" customHeight="1">
      <c r="A285" s="6" t="s">
        <v>843</v>
      </c>
      <c r="B285" s="7" t="s">
        <v>844</v>
      </c>
      <c r="C285" s="7" t="s">
        <v>836</v>
      </c>
      <c r="D285" s="18">
        <v>3</v>
      </c>
      <c r="E285" s="18">
        <v>2</v>
      </c>
      <c r="F285" s="18">
        <v>3</v>
      </c>
      <c r="G285" s="18">
        <v>3</v>
      </c>
      <c r="H285" s="18">
        <v>2</v>
      </c>
      <c r="I285" s="18">
        <v>3</v>
      </c>
      <c r="J285" s="18">
        <v>3</v>
      </c>
      <c r="K285" s="18">
        <v>5</v>
      </c>
      <c r="L285" s="18">
        <v>0</v>
      </c>
      <c r="M285" s="18">
        <v>15</v>
      </c>
      <c r="N285" s="18">
        <v>15</v>
      </c>
      <c r="O285" s="18">
        <v>3</v>
      </c>
      <c r="P285" s="18">
        <v>2</v>
      </c>
      <c r="Q285" s="18">
        <v>3</v>
      </c>
      <c r="R285" s="18">
        <v>3</v>
      </c>
      <c r="S285" s="18">
        <v>0</v>
      </c>
      <c r="T285" s="18">
        <v>25</v>
      </c>
      <c r="U285" s="18">
        <v>10</v>
      </c>
      <c r="V285" s="19">
        <f t="shared" si="4"/>
        <v>100</v>
      </c>
    </row>
    <row r="286" spans="1:22" ht="15" customHeight="1">
      <c r="A286" s="6" t="s">
        <v>845</v>
      </c>
      <c r="B286" s="7" t="s">
        <v>846</v>
      </c>
      <c r="C286" s="7" t="s">
        <v>836</v>
      </c>
      <c r="D286" s="18">
        <v>3</v>
      </c>
      <c r="E286" s="18">
        <v>2</v>
      </c>
      <c r="F286" s="18">
        <v>2</v>
      </c>
      <c r="G286" s="18">
        <v>3</v>
      </c>
      <c r="H286" s="18">
        <v>2</v>
      </c>
      <c r="I286" s="18">
        <v>3</v>
      </c>
      <c r="J286" s="18">
        <v>2</v>
      </c>
      <c r="K286" s="18">
        <v>3</v>
      </c>
      <c r="L286" s="18">
        <v>0</v>
      </c>
      <c r="M286" s="18">
        <v>10</v>
      </c>
      <c r="N286" s="18">
        <v>5</v>
      </c>
      <c r="O286" s="18">
        <v>3</v>
      </c>
      <c r="P286" s="18">
        <v>2</v>
      </c>
      <c r="Q286" s="18">
        <v>3</v>
      </c>
      <c r="R286" s="18">
        <v>3</v>
      </c>
      <c r="S286" s="18">
        <v>0</v>
      </c>
      <c r="T286" s="18">
        <v>40</v>
      </c>
      <c r="U286" s="18">
        <v>14</v>
      </c>
      <c r="V286" s="19">
        <f t="shared" si="4"/>
        <v>100</v>
      </c>
    </row>
    <row r="287" spans="1:22" ht="15" customHeight="1">
      <c r="A287" s="6" t="s">
        <v>847</v>
      </c>
      <c r="B287" s="7" t="s">
        <v>848</v>
      </c>
      <c r="C287" s="7" t="s">
        <v>836</v>
      </c>
      <c r="D287" s="18">
        <v>2</v>
      </c>
      <c r="E287" s="18">
        <v>1</v>
      </c>
      <c r="F287" s="18">
        <v>1</v>
      </c>
      <c r="G287" s="18">
        <v>2</v>
      </c>
      <c r="H287" s="18">
        <v>2</v>
      </c>
      <c r="I287" s="18">
        <v>3</v>
      </c>
      <c r="J287" s="18">
        <v>1</v>
      </c>
      <c r="K287" s="18">
        <v>2</v>
      </c>
      <c r="L287" s="18">
        <v>0</v>
      </c>
      <c r="M287" s="18">
        <v>5</v>
      </c>
      <c r="N287" s="18">
        <v>2</v>
      </c>
      <c r="O287" s="18">
        <v>2</v>
      </c>
      <c r="P287" s="18">
        <v>1</v>
      </c>
      <c r="Q287" s="18">
        <v>3</v>
      </c>
      <c r="R287" s="18">
        <v>3</v>
      </c>
      <c r="S287" s="18">
        <v>0</v>
      </c>
      <c r="T287" s="18">
        <v>45</v>
      </c>
      <c r="U287" s="18">
        <v>25</v>
      </c>
      <c r="V287" s="19">
        <f t="shared" si="4"/>
        <v>100</v>
      </c>
    </row>
    <row r="288" spans="1:22" ht="15" customHeight="1">
      <c r="A288" s="6" t="s">
        <v>849</v>
      </c>
      <c r="B288" s="7" t="s">
        <v>850</v>
      </c>
      <c r="C288" s="7" t="s">
        <v>836</v>
      </c>
      <c r="D288" s="18">
        <v>2</v>
      </c>
      <c r="E288" s="18">
        <v>1</v>
      </c>
      <c r="F288" s="18">
        <v>1</v>
      </c>
      <c r="G288" s="18">
        <v>3</v>
      </c>
      <c r="H288" s="18">
        <v>2</v>
      </c>
      <c r="I288" s="18">
        <v>3</v>
      </c>
      <c r="J288" s="18">
        <v>1</v>
      </c>
      <c r="K288" s="18">
        <v>5</v>
      </c>
      <c r="L288" s="18">
        <v>0</v>
      </c>
      <c r="M288" s="18">
        <v>3</v>
      </c>
      <c r="N288" s="18">
        <v>0</v>
      </c>
      <c r="O288" s="18">
        <v>3</v>
      </c>
      <c r="P288" s="18">
        <v>2</v>
      </c>
      <c r="Q288" s="18">
        <v>3</v>
      </c>
      <c r="R288" s="18">
        <v>3</v>
      </c>
      <c r="S288" s="18">
        <v>0</v>
      </c>
      <c r="T288" s="18">
        <v>40</v>
      </c>
      <c r="U288" s="18">
        <v>28</v>
      </c>
      <c r="V288" s="19">
        <f t="shared" si="4"/>
        <v>100</v>
      </c>
    </row>
    <row r="289" spans="1:22" ht="15" customHeight="1">
      <c r="A289" s="6" t="s">
        <v>851</v>
      </c>
      <c r="B289" s="7" t="s">
        <v>852</v>
      </c>
      <c r="C289" s="7" t="s">
        <v>836</v>
      </c>
      <c r="D289" s="18">
        <v>2</v>
      </c>
      <c r="E289" s="18">
        <v>1</v>
      </c>
      <c r="F289" s="18">
        <v>1</v>
      </c>
      <c r="G289" s="18">
        <v>3</v>
      </c>
      <c r="H289" s="18">
        <v>2</v>
      </c>
      <c r="I289" s="18">
        <v>3</v>
      </c>
      <c r="J289" s="18">
        <v>1</v>
      </c>
      <c r="K289" s="18">
        <v>3</v>
      </c>
      <c r="L289" s="18">
        <v>0</v>
      </c>
      <c r="M289" s="18">
        <v>3</v>
      </c>
      <c r="N289" s="18">
        <v>2</v>
      </c>
      <c r="O289" s="18">
        <v>3</v>
      </c>
      <c r="P289" s="18">
        <v>2</v>
      </c>
      <c r="Q289" s="18">
        <v>3</v>
      </c>
      <c r="R289" s="18">
        <v>3</v>
      </c>
      <c r="S289" s="18">
        <v>0</v>
      </c>
      <c r="T289" s="18">
        <v>40</v>
      </c>
      <c r="U289" s="18">
        <v>28</v>
      </c>
      <c r="V289" s="19">
        <f t="shared" si="4"/>
        <v>100</v>
      </c>
    </row>
    <row r="290" spans="1:22" ht="15" customHeight="1">
      <c r="A290" s="6" t="s">
        <v>853</v>
      </c>
      <c r="B290" s="7" t="s">
        <v>854</v>
      </c>
      <c r="C290" s="7" t="s">
        <v>836</v>
      </c>
      <c r="D290" s="18">
        <v>2</v>
      </c>
      <c r="E290" s="18">
        <v>1</v>
      </c>
      <c r="F290" s="18">
        <v>1</v>
      </c>
      <c r="G290" s="18">
        <v>3</v>
      </c>
      <c r="H290" s="18">
        <v>2</v>
      </c>
      <c r="I290" s="18">
        <v>3</v>
      </c>
      <c r="J290" s="18">
        <v>1</v>
      </c>
      <c r="K290" s="18">
        <v>5</v>
      </c>
      <c r="L290" s="18">
        <v>0</v>
      </c>
      <c r="M290" s="18">
        <v>3</v>
      </c>
      <c r="N290" s="18">
        <v>0</v>
      </c>
      <c r="O290" s="18">
        <v>3</v>
      </c>
      <c r="P290" s="18">
        <v>2</v>
      </c>
      <c r="Q290" s="18">
        <v>3</v>
      </c>
      <c r="R290" s="18">
        <v>3</v>
      </c>
      <c r="S290" s="18">
        <v>0</v>
      </c>
      <c r="T290" s="18">
        <v>40</v>
      </c>
      <c r="U290" s="18">
        <v>28</v>
      </c>
      <c r="V290" s="19">
        <f t="shared" si="4"/>
        <v>100</v>
      </c>
    </row>
    <row r="291" spans="1:22" ht="15" customHeight="1">
      <c r="A291" s="6" t="s">
        <v>855</v>
      </c>
      <c r="B291" s="7" t="s">
        <v>856</v>
      </c>
      <c r="C291" s="7" t="s">
        <v>836</v>
      </c>
      <c r="D291" s="18">
        <v>2</v>
      </c>
      <c r="E291" s="18">
        <v>1</v>
      </c>
      <c r="F291" s="18">
        <v>2</v>
      </c>
      <c r="G291" s="18">
        <v>3</v>
      </c>
      <c r="H291" s="18">
        <v>2</v>
      </c>
      <c r="I291" s="18">
        <v>2</v>
      </c>
      <c r="J291" s="18">
        <v>2</v>
      </c>
      <c r="K291" s="18">
        <v>5</v>
      </c>
      <c r="L291" s="18">
        <v>0</v>
      </c>
      <c r="M291" s="18">
        <v>5</v>
      </c>
      <c r="N291" s="18">
        <v>3</v>
      </c>
      <c r="O291" s="18">
        <v>5</v>
      </c>
      <c r="P291" s="18">
        <v>2</v>
      </c>
      <c r="Q291" s="18">
        <v>5</v>
      </c>
      <c r="R291" s="18">
        <v>5</v>
      </c>
      <c r="S291" s="18">
        <v>0</v>
      </c>
      <c r="T291" s="18">
        <v>35</v>
      </c>
      <c r="U291" s="18">
        <v>21</v>
      </c>
      <c r="V291" s="19">
        <f t="shared" si="4"/>
        <v>100</v>
      </c>
    </row>
    <row r="292" spans="1:22" ht="15" customHeight="1">
      <c r="A292" s="6" t="s">
        <v>857</v>
      </c>
      <c r="B292" s="7" t="s">
        <v>858</v>
      </c>
      <c r="C292" s="7" t="s">
        <v>836</v>
      </c>
      <c r="D292" s="18">
        <v>2</v>
      </c>
      <c r="E292" s="18">
        <v>1</v>
      </c>
      <c r="F292" s="18">
        <v>1</v>
      </c>
      <c r="G292" s="18">
        <v>3</v>
      </c>
      <c r="H292" s="18">
        <v>2</v>
      </c>
      <c r="I292" s="18">
        <v>2</v>
      </c>
      <c r="J292" s="18">
        <v>1</v>
      </c>
      <c r="K292" s="18">
        <v>5</v>
      </c>
      <c r="L292" s="18">
        <v>0</v>
      </c>
      <c r="M292" s="18">
        <v>3</v>
      </c>
      <c r="N292" s="18">
        <v>2</v>
      </c>
      <c r="O292" s="18">
        <v>3</v>
      </c>
      <c r="P292" s="18">
        <v>1</v>
      </c>
      <c r="Q292" s="18">
        <v>3</v>
      </c>
      <c r="R292" s="18">
        <v>3</v>
      </c>
      <c r="S292" s="18">
        <v>0</v>
      </c>
      <c r="T292" s="18">
        <v>38</v>
      </c>
      <c r="U292" s="18">
        <v>30</v>
      </c>
      <c r="V292" s="19">
        <f t="shared" si="4"/>
        <v>100</v>
      </c>
    </row>
    <row r="293" spans="1:22" ht="15" customHeight="1">
      <c r="A293" s="6" t="s">
        <v>859</v>
      </c>
      <c r="B293" s="7" t="s">
        <v>860</v>
      </c>
      <c r="C293" s="7" t="s">
        <v>836</v>
      </c>
      <c r="D293" s="18">
        <v>3</v>
      </c>
      <c r="E293" s="18">
        <v>3</v>
      </c>
      <c r="F293" s="18">
        <v>2</v>
      </c>
      <c r="G293" s="18">
        <v>8</v>
      </c>
      <c r="H293" s="18">
        <v>8</v>
      </c>
      <c r="I293" s="18">
        <v>3</v>
      </c>
      <c r="J293" s="18">
        <v>2</v>
      </c>
      <c r="K293" s="18">
        <v>12</v>
      </c>
      <c r="L293" s="18">
        <v>0</v>
      </c>
      <c r="M293" s="18">
        <v>2</v>
      </c>
      <c r="N293" s="18">
        <v>1</v>
      </c>
      <c r="O293" s="18">
        <v>8</v>
      </c>
      <c r="P293" s="18">
        <v>5</v>
      </c>
      <c r="Q293" s="18">
        <v>3</v>
      </c>
      <c r="R293" s="18">
        <v>12</v>
      </c>
      <c r="S293" s="18">
        <v>0</v>
      </c>
      <c r="T293" s="18">
        <v>15</v>
      </c>
      <c r="U293" s="18">
        <v>13</v>
      </c>
      <c r="V293" s="19">
        <f t="shared" si="4"/>
        <v>100</v>
      </c>
    </row>
    <row r="294" spans="1:22" ht="15" customHeight="1">
      <c r="A294" s="6" t="s">
        <v>861</v>
      </c>
      <c r="B294" s="7" t="s">
        <v>862</v>
      </c>
      <c r="C294" s="7" t="s">
        <v>836</v>
      </c>
      <c r="D294" s="18">
        <v>2</v>
      </c>
      <c r="E294" s="18">
        <v>1</v>
      </c>
      <c r="F294" s="18">
        <v>1</v>
      </c>
      <c r="G294" s="18">
        <v>2</v>
      </c>
      <c r="H294" s="18">
        <v>2</v>
      </c>
      <c r="I294" s="18">
        <v>3</v>
      </c>
      <c r="J294" s="18">
        <v>1</v>
      </c>
      <c r="K294" s="18">
        <v>3</v>
      </c>
      <c r="L294" s="18">
        <v>0</v>
      </c>
      <c r="M294" s="18">
        <v>5</v>
      </c>
      <c r="N294" s="18">
        <v>5</v>
      </c>
      <c r="O294" s="18">
        <v>3</v>
      </c>
      <c r="P294" s="18">
        <v>2</v>
      </c>
      <c r="Q294" s="18">
        <v>3</v>
      </c>
      <c r="R294" s="18">
        <v>3</v>
      </c>
      <c r="S294" s="18">
        <v>0</v>
      </c>
      <c r="T294" s="18">
        <v>45</v>
      </c>
      <c r="U294" s="18">
        <v>19</v>
      </c>
      <c r="V294" s="19">
        <f t="shared" si="4"/>
        <v>100</v>
      </c>
    </row>
    <row r="295" spans="1:22" ht="15" customHeight="1">
      <c r="A295" s="6" t="s">
        <v>863</v>
      </c>
      <c r="B295" s="7" t="s">
        <v>864</v>
      </c>
      <c r="C295" s="7" t="s">
        <v>836</v>
      </c>
      <c r="D295" s="18">
        <v>2</v>
      </c>
      <c r="E295" s="18">
        <v>1</v>
      </c>
      <c r="F295" s="18">
        <v>2</v>
      </c>
      <c r="G295" s="18">
        <v>2</v>
      </c>
      <c r="H295" s="18">
        <v>2</v>
      </c>
      <c r="I295" s="18">
        <v>2</v>
      </c>
      <c r="J295" s="18">
        <v>1</v>
      </c>
      <c r="K295" s="18">
        <v>3</v>
      </c>
      <c r="L295" s="18">
        <v>0</v>
      </c>
      <c r="M295" s="18">
        <v>5</v>
      </c>
      <c r="N295" s="18">
        <v>5</v>
      </c>
      <c r="O295" s="18">
        <v>3</v>
      </c>
      <c r="P295" s="18">
        <v>2</v>
      </c>
      <c r="Q295" s="18">
        <v>3</v>
      </c>
      <c r="R295" s="18">
        <v>3</v>
      </c>
      <c r="S295" s="18">
        <v>0</v>
      </c>
      <c r="T295" s="18">
        <v>45</v>
      </c>
      <c r="U295" s="18">
        <v>19</v>
      </c>
      <c r="V295" s="19">
        <f t="shared" si="4"/>
        <v>100</v>
      </c>
    </row>
    <row r="296" spans="1:22" ht="15" customHeight="1">
      <c r="A296" s="6" t="s">
        <v>865</v>
      </c>
      <c r="B296" s="7" t="s">
        <v>866</v>
      </c>
      <c r="C296" s="7" t="s">
        <v>836</v>
      </c>
      <c r="D296" s="18">
        <v>2</v>
      </c>
      <c r="E296" s="18">
        <v>1</v>
      </c>
      <c r="F296" s="18">
        <v>1</v>
      </c>
      <c r="G296" s="18">
        <v>3</v>
      </c>
      <c r="H296" s="18">
        <v>2</v>
      </c>
      <c r="I296" s="18">
        <v>2</v>
      </c>
      <c r="J296" s="18">
        <v>1</v>
      </c>
      <c r="K296" s="18">
        <v>10</v>
      </c>
      <c r="L296" s="18">
        <v>0</v>
      </c>
      <c r="M296" s="18">
        <v>2</v>
      </c>
      <c r="N296" s="18">
        <v>10</v>
      </c>
      <c r="O296" s="18">
        <v>3</v>
      </c>
      <c r="P296" s="18">
        <v>3</v>
      </c>
      <c r="Q296" s="18">
        <v>2</v>
      </c>
      <c r="R296" s="18">
        <v>3</v>
      </c>
      <c r="S296" s="18">
        <v>0</v>
      </c>
      <c r="T296" s="18">
        <v>30</v>
      </c>
      <c r="U296" s="18">
        <v>25</v>
      </c>
      <c r="V296" s="19">
        <f t="shared" si="4"/>
        <v>100</v>
      </c>
    </row>
    <row r="297" spans="1:22" ht="15" customHeight="1">
      <c r="A297" s="6" t="s">
        <v>867</v>
      </c>
      <c r="B297" s="7" t="s">
        <v>868</v>
      </c>
      <c r="C297" s="7" t="s">
        <v>836</v>
      </c>
      <c r="D297" s="18">
        <v>2</v>
      </c>
      <c r="E297" s="18">
        <v>2</v>
      </c>
      <c r="F297" s="18">
        <v>2</v>
      </c>
      <c r="G297" s="18">
        <v>3</v>
      </c>
      <c r="H297" s="18">
        <v>2</v>
      </c>
      <c r="I297" s="18">
        <v>3</v>
      </c>
      <c r="J297" s="18">
        <v>2</v>
      </c>
      <c r="K297" s="18">
        <v>5</v>
      </c>
      <c r="L297" s="18">
        <v>0</v>
      </c>
      <c r="M297" s="18">
        <v>5</v>
      </c>
      <c r="N297" s="18">
        <v>3</v>
      </c>
      <c r="O297" s="18">
        <v>3</v>
      </c>
      <c r="P297" s="18">
        <v>2</v>
      </c>
      <c r="Q297" s="18">
        <v>3</v>
      </c>
      <c r="R297" s="18">
        <v>3</v>
      </c>
      <c r="S297" s="18">
        <v>0</v>
      </c>
      <c r="T297" s="18">
        <v>35</v>
      </c>
      <c r="U297" s="18">
        <v>25</v>
      </c>
      <c r="V297" s="19">
        <f t="shared" si="4"/>
        <v>100</v>
      </c>
    </row>
    <row r="298" spans="1:22" ht="15" customHeight="1">
      <c r="A298" s="6" t="s">
        <v>869</v>
      </c>
      <c r="B298" s="7" t="s">
        <v>870</v>
      </c>
      <c r="C298" s="7" t="s">
        <v>871</v>
      </c>
      <c r="D298" s="18">
        <v>3</v>
      </c>
      <c r="E298" s="18">
        <v>2</v>
      </c>
      <c r="F298" s="18">
        <v>2</v>
      </c>
      <c r="G298" s="18">
        <v>3</v>
      </c>
      <c r="H298" s="18">
        <v>1</v>
      </c>
      <c r="I298" s="18">
        <v>2</v>
      </c>
      <c r="J298" s="18">
        <v>2</v>
      </c>
      <c r="K298" s="18">
        <v>8</v>
      </c>
      <c r="L298" s="18">
        <v>0</v>
      </c>
      <c r="M298" s="18">
        <v>1</v>
      </c>
      <c r="N298" s="18">
        <v>2</v>
      </c>
      <c r="O298" s="18">
        <v>2</v>
      </c>
      <c r="P298" s="18">
        <v>1</v>
      </c>
      <c r="Q298" s="18">
        <v>15</v>
      </c>
      <c r="R298" s="18">
        <v>2</v>
      </c>
      <c r="S298" s="18">
        <v>40</v>
      </c>
      <c r="T298" s="18">
        <v>5</v>
      </c>
      <c r="U298" s="18">
        <v>9</v>
      </c>
      <c r="V298" s="19">
        <f t="shared" si="4"/>
        <v>100</v>
      </c>
    </row>
    <row r="299" spans="1:22" ht="15" customHeight="1">
      <c r="A299" s="6" t="s">
        <v>872</v>
      </c>
      <c r="B299" s="7" t="s">
        <v>873</v>
      </c>
      <c r="C299" s="7" t="s">
        <v>871</v>
      </c>
      <c r="D299" s="18">
        <v>5</v>
      </c>
      <c r="E299" s="18">
        <v>3</v>
      </c>
      <c r="F299" s="18">
        <v>3</v>
      </c>
      <c r="G299" s="18">
        <v>3</v>
      </c>
      <c r="H299" s="18">
        <v>2</v>
      </c>
      <c r="I299" s="18">
        <v>3</v>
      </c>
      <c r="J299" s="18">
        <v>3</v>
      </c>
      <c r="K299" s="18">
        <v>8</v>
      </c>
      <c r="L299" s="18">
        <v>0</v>
      </c>
      <c r="M299" s="18">
        <v>2</v>
      </c>
      <c r="N299" s="18">
        <v>2</v>
      </c>
      <c r="O299" s="18">
        <v>2</v>
      </c>
      <c r="P299" s="18">
        <v>1</v>
      </c>
      <c r="Q299" s="18">
        <v>25</v>
      </c>
      <c r="R299" s="18">
        <v>3</v>
      </c>
      <c r="S299" s="18">
        <v>20</v>
      </c>
      <c r="T299" s="18">
        <v>5</v>
      </c>
      <c r="U299" s="18">
        <v>10</v>
      </c>
      <c r="V299" s="19">
        <f t="shared" si="4"/>
        <v>100</v>
      </c>
    </row>
    <row r="300" spans="1:22" ht="15" customHeight="1">
      <c r="A300" s="6" t="s">
        <v>874</v>
      </c>
      <c r="B300" s="7" t="s">
        <v>875</v>
      </c>
      <c r="C300" s="7" t="s">
        <v>871</v>
      </c>
      <c r="D300" s="18">
        <v>5</v>
      </c>
      <c r="E300" s="18">
        <v>3</v>
      </c>
      <c r="F300" s="18">
        <v>5</v>
      </c>
      <c r="G300" s="18">
        <v>3</v>
      </c>
      <c r="H300" s="18">
        <v>2</v>
      </c>
      <c r="I300" s="18">
        <v>3</v>
      </c>
      <c r="J300" s="18">
        <v>3</v>
      </c>
      <c r="K300" s="18">
        <v>8</v>
      </c>
      <c r="L300" s="18">
        <v>0</v>
      </c>
      <c r="M300" s="18">
        <v>2</v>
      </c>
      <c r="N300" s="18">
        <v>2</v>
      </c>
      <c r="O300" s="18">
        <v>3</v>
      </c>
      <c r="P300" s="18">
        <v>1</v>
      </c>
      <c r="Q300" s="18">
        <v>25</v>
      </c>
      <c r="R300" s="18">
        <v>3</v>
      </c>
      <c r="S300" s="18">
        <v>18</v>
      </c>
      <c r="T300" s="18">
        <v>5</v>
      </c>
      <c r="U300" s="18">
        <v>9</v>
      </c>
      <c r="V300" s="19">
        <f t="shared" si="4"/>
        <v>100</v>
      </c>
    </row>
    <row r="301" spans="1:22" ht="15" customHeight="1">
      <c r="A301" s="6" t="s">
        <v>876</v>
      </c>
      <c r="B301" s="7" t="s">
        <v>877</v>
      </c>
      <c r="C301" s="7" t="s">
        <v>871</v>
      </c>
      <c r="D301" s="18">
        <v>3</v>
      </c>
      <c r="E301" s="18">
        <v>2</v>
      </c>
      <c r="F301" s="18">
        <v>2</v>
      </c>
      <c r="G301" s="18">
        <v>5</v>
      </c>
      <c r="H301" s="18">
        <v>2</v>
      </c>
      <c r="I301" s="18">
        <v>2</v>
      </c>
      <c r="J301" s="18">
        <v>2</v>
      </c>
      <c r="K301" s="18">
        <v>10</v>
      </c>
      <c r="L301" s="18">
        <v>0</v>
      </c>
      <c r="M301" s="18">
        <v>1</v>
      </c>
      <c r="N301" s="18">
        <v>2</v>
      </c>
      <c r="O301" s="18">
        <v>3</v>
      </c>
      <c r="P301" s="18">
        <v>2</v>
      </c>
      <c r="Q301" s="18">
        <v>15</v>
      </c>
      <c r="R301" s="18">
        <v>2</v>
      </c>
      <c r="S301" s="18">
        <v>35</v>
      </c>
      <c r="T301" s="18">
        <v>5</v>
      </c>
      <c r="U301" s="18">
        <v>7</v>
      </c>
      <c r="V301" s="19">
        <f t="shared" si="4"/>
        <v>100</v>
      </c>
    </row>
    <row r="302" spans="1:22" ht="15" customHeight="1">
      <c r="A302" s="6" t="s">
        <v>878</v>
      </c>
      <c r="B302" s="7" t="s">
        <v>879</v>
      </c>
      <c r="C302" s="7" t="s">
        <v>871</v>
      </c>
      <c r="D302" s="18">
        <v>3</v>
      </c>
      <c r="E302" s="18">
        <v>2</v>
      </c>
      <c r="F302" s="18">
        <v>1</v>
      </c>
      <c r="G302" s="18">
        <v>3</v>
      </c>
      <c r="H302" s="18">
        <v>1</v>
      </c>
      <c r="I302" s="18">
        <v>2</v>
      </c>
      <c r="J302" s="18">
        <v>1</v>
      </c>
      <c r="K302" s="18">
        <v>8</v>
      </c>
      <c r="L302" s="18">
        <v>0</v>
      </c>
      <c r="M302" s="18">
        <v>1</v>
      </c>
      <c r="N302" s="18">
        <v>2</v>
      </c>
      <c r="O302" s="18">
        <v>2</v>
      </c>
      <c r="P302" s="18">
        <v>1</v>
      </c>
      <c r="Q302" s="18">
        <v>15</v>
      </c>
      <c r="R302" s="18">
        <v>2</v>
      </c>
      <c r="S302" s="18">
        <v>35</v>
      </c>
      <c r="T302" s="18">
        <v>10</v>
      </c>
      <c r="U302" s="18">
        <v>11</v>
      </c>
      <c r="V302" s="19">
        <f t="shared" si="4"/>
        <v>100</v>
      </c>
    </row>
    <row r="303" spans="1:22" ht="15" customHeight="1">
      <c r="A303" s="6" t="s">
        <v>880</v>
      </c>
      <c r="B303" s="7" t="s">
        <v>881</v>
      </c>
      <c r="C303" s="7" t="s">
        <v>871</v>
      </c>
      <c r="D303" s="18">
        <v>3</v>
      </c>
      <c r="E303" s="18">
        <v>2</v>
      </c>
      <c r="F303" s="18">
        <v>1</v>
      </c>
      <c r="G303" s="18">
        <v>5</v>
      </c>
      <c r="H303" s="18">
        <v>1</v>
      </c>
      <c r="I303" s="18">
        <v>2</v>
      </c>
      <c r="J303" s="18">
        <v>1</v>
      </c>
      <c r="K303" s="18">
        <v>8</v>
      </c>
      <c r="L303" s="18">
        <v>0</v>
      </c>
      <c r="M303" s="18">
        <v>1</v>
      </c>
      <c r="N303" s="18">
        <v>1</v>
      </c>
      <c r="O303" s="18">
        <v>2</v>
      </c>
      <c r="P303" s="18">
        <v>1</v>
      </c>
      <c r="Q303" s="18">
        <v>10</v>
      </c>
      <c r="R303" s="18">
        <v>2</v>
      </c>
      <c r="S303" s="18">
        <v>40</v>
      </c>
      <c r="T303" s="18">
        <v>8</v>
      </c>
      <c r="U303" s="18">
        <v>12</v>
      </c>
      <c r="V303" s="19">
        <f t="shared" si="4"/>
        <v>100</v>
      </c>
    </row>
    <row r="304" spans="1:22" ht="15" customHeight="1">
      <c r="A304" s="6" t="s">
        <v>882</v>
      </c>
      <c r="B304" s="7" t="s">
        <v>883</v>
      </c>
      <c r="C304" s="7" t="s">
        <v>871</v>
      </c>
      <c r="D304" s="18">
        <v>5</v>
      </c>
      <c r="E304" s="18">
        <v>3</v>
      </c>
      <c r="F304" s="18">
        <v>2</v>
      </c>
      <c r="G304" s="18">
        <v>3</v>
      </c>
      <c r="H304" s="18">
        <v>1</v>
      </c>
      <c r="I304" s="18">
        <v>3</v>
      </c>
      <c r="J304" s="18">
        <v>2</v>
      </c>
      <c r="K304" s="18">
        <v>8</v>
      </c>
      <c r="L304" s="18">
        <v>0</v>
      </c>
      <c r="M304" s="18">
        <v>3</v>
      </c>
      <c r="N304" s="18">
        <v>0</v>
      </c>
      <c r="O304" s="18">
        <v>3</v>
      </c>
      <c r="P304" s="18">
        <v>1</v>
      </c>
      <c r="Q304" s="18">
        <v>3</v>
      </c>
      <c r="R304" s="18">
        <v>2</v>
      </c>
      <c r="S304" s="18">
        <v>45</v>
      </c>
      <c r="T304" s="18">
        <v>10</v>
      </c>
      <c r="U304" s="18">
        <v>6</v>
      </c>
      <c r="V304" s="19">
        <f t="shared" si="4"/>
        <v>100</v>
      </c>
    </row>
    <row r="305" spans="1:22" ht="15" customHeight="1">
      <c r="A305" s="6" t="s">
        <v>884</v>
      </c>
      <c r="B305" s="7" t="s">
        <v>885</v>
      </c>
      <c r="C305" s="7" t="s">
        <v>871</v>
      </c>
      <c r="D305" s="18">
        <v>5</v>
      </c>
      <c r="E305" s="18">
        <v>3</v>
      </c>
      <c r="F305" s="18">
        <v>2</v>
      </c>
      <c r="G305" s="18">
        <v>3</v>
      </c>
      <c r="H305" s="18">
        <v>1</v>
      </c>
      <c r="I305" s="18">
        <v>3</v>
      </c>
      <c r="J305" s="18">
        <v>2</v>
      </c>
      <c r="K305" s="18">
        <v>8</v>
      </c>
      <c r="L305" s="18">
        <v>0</v>
      </c>
      <c r="M305" s="18">
        <v>5</v>
      </c>
      <c r="N305" s="18">
        <v>0</v>
      </c>
      <c r="O305" s="18">
        <v>5</v>
      </c>
      <c r="P305" s="18">
        <v>1</v>
      </c>
      <c r="Q305" s="18">
        <v>3</v>
      </c>
      <c r="R305" s="18">
        <v>2</v>
      </c>
      <c r="S305" s="18">
        <v>30</v>
      </c>
      <c r="T305" s="18">
        <v>15</v>
      </c>
      <c r="U305" s="18">
        <v>12</v>
      </c>
      <c r="V305" s="19">
        <f t="shared" si="4"/>
        <v>100</v>
      </c>
    </row>
    <row r="306" spans="1:22" ht="15" customHeight="1">
      <c r="A306" s="6" t="s">
        <v>886</v>
      </c>
      <c r="B306" s="7" t="s">
        <v>887</v>
      </c>
      <c r="C306" s="7" t="s">
        <v>871</v>
      </c>
      <c r="D306" s="18">
        <v>8</v>
      </c>
      <c r="E306" s="18">
        <v>3</v>
      </c>
      <c r="F306" s="18">
        <v>2</v>
      </c>
      <c r="G306" s="18">
        <v>5</v>
      </c>
      <c r="H306" s="18">
        <v>1</v>
      </c>
      <c r="I306" s="18">
        <v>3</v>
      </c>
      <c r="J306" s="18">
        <v>2</v>
      </c>
      <c r="K306" s="18">
        <v>8</v>
      </c>
      <c r="L306" s="18">
        <v>0</v>
      </c>
      <c r="M306" s="18">
        <v>5</v>
      </c>
      <c r="N306" s="18">
        <v>0</v>
      </c>
      <c r="O306" s="18">
        <v>3</v>
      </c>
      <c r="P306" s="18">
        <v>1</v>
      </c>
      <c r="Q306" s="18">
        <v>3</v>
      </c>
      <c r="R306" s="18">
        <v>2</v>
      </c>
      <c r="S306" s="18">
        <v>25</v>
      </c>
      <c r="T306" s="18">
        <v>25</v>
      </c>
      <c r="U306" s="18">
        <v>4</v>
      </c>
      <c r="V306" s="19">
        <f t="shared" si="4"/>
        <v>100</v>
      </c>
    </row>
    <row r="307" spans="1:22" ht="15" customHeight="1">
      <c r="A307" s="6" t="s">
        <v>888</v>
      </c>
      <c r="B307" s="7" t="s">
        <v>889</v>
      </c>
      <c r="C307" s="7" t="s">
        <v>871</v>
      </c>
      <c r="D307" s="18">
        <v>5</v>
      </c>
      <c r="E307" s="18">
        <v>3</v>
      </c>
      <c r="F307" s="18">
        <v>2</v>
      </c>
      <c r="G307" s="18">
        <v>3</v>
      </c>
      <c r="H307" s="18">
        <v>1</v>
      </c>
      <c r="I307" s="18">
        <v>3</v>
      </c>
      <c r="J307" s="18">
        <v>2</v>
      </c>
      <c r="K307" s="18">
        <v>8</v>
      </c>
      <c r="L307" s="18">
        <v>0</v>
      </c>
      <c r="M307" s="18">
        <v>3</v>
      </c>
      <c r="N307" s="18">
        <v>0</v>
      </c>
      <c r="O307" s="18">
        <v>3</v>
      </c>
      <c r="P307" s="18">
        <v>1</v>
      </c>
      <c r="Q307" s="18">
        <v>3</v>
      </c>
      <c r="R307" s="18">
        <v>2</v>
      </c>
      <c r="S307" s="18">
        <v>45</v>
      </c>
      <c r="T307" s="18">
        <v>10</v>
      </c>
      <c r="U307" s="18">
        <v>6</v>
      </c>
      <c r="V307" s="19">
        <f t="shared" si="4"/>
        <v>100</v>
      </c>
    </row>
    <row r="308" spans="1:22" ht="15" customHeight="1">
      <c r="A308" s="6" t="s">
        <v>890</v>
      </c>
      <c r="B308" s="7" t="s">
        <v>891</v>
      </c>
      <c r="C308" s="7" t="s">
        <v>871</v>
      </c>
      <c r="D308" s="18">
        <v>5</v>
      </c>
      <c r="E308" s="18">
        <v>3</v>
      </c>
      <c r="F308" s="18">
        <v>2</v>
      </c>
      <c r="G308" s="18">
        <v>3</v>
      </c>
      <c r="H308" s="18">
        <v>1</v>
      </c>
      <c r="I308" s="18">
        <v>3</v>
      </c>
      <c r="J308" s="18">
        <v>2</v>
      </c>
      <c r="K308" s="18">
        <v>8</v>
      </c>
      <c r="L308" s="18">
        <v>0</v>
      </c>
      <c r="M308" s="18">
        <v>2</v>
      </c>
      <c r="N308" s="18">
        <v>0</v>
      </c>
      <c r="O308" s="18">
        <v>3</v>
      </c>
      <c r="P308" s="18">
        <v>1</v>
      </c>
      <c r="Q308" s="18">
        <v>3</v>
      </c>
      <c r="R308" s="18">
        <v>2</v>
      </c>
      <c r="S308" s="18">
        <v>50</v>
      </c>
      <c r="T308" s="18">
        <v>5</v>
      </c>
      <c r="U308" s="18">
        <v>7</v>
      </c>
      <c r="V308" s="19">
        <f t="shared" si="4"/>
        <v>100</v>
      </c>
    </row>
    <row r="309" spans="1:22" ht="15" customHeight="1">
      <c r="A309" s="6" t="s">
        <v>892</v>
      </c>
      <c r="B309" s="7" t="s">
        <v>893</v>
      </c>
      <c r="C309" s="7" t="s">
        <v>871</v>
      </c>
      <c r="D309" s="18">
        <v>5</v>
      </c>
      <c r="E309" s="18">
        <v>5</v>
      </c>
      <c r="F309" s="18">
        <v>2</v>
      </c>
      <c r="G309" s="18">
        <v>5</v>
      </c>
      <c r="H309" s="18">
        <v>2</v>
      </c>
      <c r="I309" s="18">
        <v>3</v>
      </c>
      <c r="J309" s="18">
        <v>3</v>
      </c>
      <c r="K309" s="18">
        <v>8</v>
      </c>
      <c r="L309" s="18">
        <v>0</v>
      </c>
      <c r="M309" s="18">
        <v>2</v>
      </c>
      <c r="N309" s="18">
        <v>0</v>
      </c>
      <c r="O309" s="18">
        <v>5</v>
      </c>
      <c r="P309" s="18">
        <v>2</v>
      </c>
      <c r="Q309" s="18">
        <v>5</v>
      </c>
      <c r="R309" s="18">
        <v>10</v>
      </c>
      <c r="S309" s="18">
        <v>35</v>
      </c>
      <c r="T309" s="18">
        <v>3</v>
      </c>
      <c r="U309" s="18">
        <v>5</v>
      </c>
      <c r="V309" s="19">
        <f t="shared" si="4"/>
        <v>100</v>
      </c>
    </row>
    <row r="310" spans="1:22" ht="15" customHeight="1">
      <c r="A310" s="6" t="s">
        <v>894</v>
      </c>
      <c r="B310" s="7" t="s">
        <v>895</v>
      </c>
      <c r="C310" s="7" t="s">
        <v>871</v>
      </c>
      <c r="D310" s="18">
        <v>5</v>
      </c>
      <c r="E310" s="18">
        <v>3</v>
      </c>
      <c r="F310" s="18">
        <v>2</v>
      </c>
      <c r="G310" s="18">
        <v>3</v>
      </c>
      <c r="H310" s="18">
        <v>1</v>
      </c>
      <c r="I310" s="18">
        <v>3</v>
      </c>
      <c r="J310" s="18">
        <v>2</v>
      </c>
      <c r="K310" s="18">
        <v>8</v>
      </c>
      <c r="L310" s="18">
        <v>0</v>
      </c>
      <c r="M310" s="18">
        <v>2</v>
      </c>
      <c r="N310" s="18">
        <v>0</v>
      </c>
      <c r="O310" s="18">
        <v>3</v>
      </c>
      <c r="P310" s="18">
        <v>1</v>
      </c>
      <c r="Q310" s="18">
        <v>3</v>
      </c>
      <c r="R310" s="18">
        <v>2</v>
      </c>
      <c r="S310" s="18">
        <v>48</v>
      </c>
      <c r="T310" s="18">
        <v>5</v>
      </c>
      <c r="U310" s="18">
        <v>9</v>
      </c>
      <c r="V310" s="19">
        <f t="shared" si="4"/>
        <v>100</v>
      </c>
    </row>
    <row r="311" spans="1:22" ht="15" customHeight="1">
      <c r="A311" s="6" t="s">
        <v>896</v>
      </c>
      <c r="B311" s="7" t="s">
        <v>897</v>
      </c>
      <c r="C311" s="7" t="s">
        <v>871</v>
      </c>
      <c r="D311" s="18">
        <v>3</v>
      </c>
      <c r="E311" s="18">
        <v>2</v>
      </c>
      <c r="F311" s="18">
        <v>2</v>
      </c>
      <c r="G311" s="18">
        <v>3</v>
      </c>
      <c r="H311" s="18">
        <v>1</v>
      </c>
      <c r="I311" s="18">
        <v>2</v>
      </c>
      <c r="J311" s="18">
        <v>1</v>
      </c>
      <c r="K311" s="18">
        <v>5</v>
      </c>
      <c r="L311" s="18">
        <v>0</v>
      </c>
      <c r="M311" s="18">
        <v>5</v>
      </c>
      <c r="N311" s="18">
        <v>0</v>
      </c>
      <c r="O311" s="18">
        <v>3</v>
      </c>
      <c r="P311" s="18">
        <v>2</v>
      </c>
      <c r="Q311" s="18">
        <v>3</v>
      </c>
      <c r="R311" s="18">
        <v>2</v>
      </c>
      <c r="S311" s="18">
        <v>25</v>
      </c>
      <c r="T311" s="18">
        <v>20</v>
      </c>
      <c r="U311" s="18">
        <v>21</v>
      </c>
      <c r="V311" s="19">
        <f t="shared" si="4"/>
        <v>100</v>
      </c>
    </row>
    <row r="312" spans="1:22" ht="15" customHeight="1">
      <c r="A312" s="6" t="s">
        <v>898</v>
      </c>
      <c r="B312" s="7" t="s">
        <v>899</v>
      </c>
      <c r="C312" s="7" t="s">
        <v>871</v>
      </c>
      <c r="D312" s="18">
        <v>3</v>
      </c>
      <c r="E312" s="18">
        <v>2</v>
      </c>
      <c r="F312" s="18">
        <v>2</v>
      </c>
      <c r="G312" s="18">
        <v>5</v>
      </c>
      <c r="H312" s="18">
        <v>2</v>
      </c>
      <c r="I312" s="18">
        <v>3</v>
      </c>
      <c r="J312" s="18">
        <v>2</v>
      </c>
      <c r="K312" s="18">
        <v>5</v>
      </c>
      <c r="L312" s="18">
        <v>0</v>
      </c>
      <c r="M312" s="18">
        <v>5</v>
      </c>
      <c r="N312" s="18">
        <v>0</v>
      </c>
      <c r="O312" s="18">
        <v>5</v>
      </c>
      <c r="P312" s="18">
        <v>3</v>
      </c>
      <c r="Q312" s="18">
        <v>3</v>
      </c>
      <c r="R312" s="18">
        <v>3</v>
      </c>
      <c r="S312" s="18">
        <v>0</v>
      </c>
      <c r="T312" s="18">
        <v>20</v>
      </c>
      <c r="U312" s="18">
        <v>37</v>
      </c>
      <c r="V312" s="19">
        <f t="shared" si="4"/>
        <v>100</v>
      </c>
    </row>
    <row r="313" spans="1:22" ht="15" customHeight="1">
      <c r="A313" s="6" t="s">
        <v>900</v>
      </c>
      <c r="B313" s="7" t="s">
        <v>901</v>
      </c>
      <c r="C313" s="7" t="s">
        <v>902</v>
      </c>
      <c r="D313" s="18">
        <v>2</v>
      </c>
      <c r="E313" s="18">
        <v>1</v>
      </c>
      <c r="F313" s="18">
        <v>1</v>
      </c>
      <c r="G313" s="18">
        <v>5</v>
      </c>
      <c r="H313" s="18">
        <v>2</v>
      </c>
      <c r="I313" s="18">
        <v>2</v>
      </c>
      <c r="J313" s="18">
        <v>1</v>
      </c>
      <c r="K313" s="18">
        <v>18</v>
      </c>
      <c r="L313" s="18">
        <v>0</v>
      </c>
      <c r="M313" s="18">
        <v>2</v>
      </c>
      <c r="N313" s="18">
        <v>2</v>
      </c>
      <c r="O313" s="18">
        <v>2</v>
      </c>
      <c r="P313" s="18">
        <v>5</v>
      </c>
      <c r="Q313" s="18">
        <v>3</v>
      </c>
      <c r="R313" s="18">
        <v>2</v>
      </c>
      <c r="S313" s="18">
        <v>15</v>
      </c>
      <c r="T313" s="18">
        <v>29</v>
      </c>
      <c r="U313" s="18">
        <v>8</v>
      </c>
      <c r="V313" s="19">
        <f t="shared" si="4"/>
        <v>100</v>
      </c>
    </row>
    <row r="314" spans="1:22" ht="15" customHeight="1">
      <c r="A314" s="6" t="s">
        <v>903</v>
      </c>
      <c r="B314" s="7" t="s">
        <v>904</v>
      </c>
      <c r="C314" s="7" t="s">
        <v>902</v>
      </c>
      <c r="D314" s="18">
        <v>2</v>
      </c>
      <c r="E314" s="18">
        <v>1</v>
      </c>
      <c r="F314" s="18">
        <v>1</v>
      </c>
      <c r="G314" s="18">
        <v>5</v>
      </c>
      <c r="H314" s="18">
        <v>2</v>
      </c>
      <c r="I314" s="18">
        <v>2</v>
      </c>
      <c r="J314" s="18">
        <v>1</v>
      </c>
      <c r="K314" s="18">
        <v>18</v>
      </c>
      <c r="L314" s="18">
        <v>0</v>
      </c>
      <c r="M314" s="18">
        <v>2</v>
      </c>
      <c r="N314" s="18">
        <v>2</v>
      </c>
      <c r="O314" s="18">
        <v>2</v>
      </c>
      <c r="P314" s="18">
        <v>5</v>
      </c>
      <c r="Q314" s="18">
        <v>3</v>
      </c>
      <c r="R314" s="18">
        <v>2</v>
      </c>
      <c r="S314" s="18">
        <v>20</v>
      </c>
      <c r="T314" s="18">
        <v>24</v>
      </c>
      <c r="U314" s="18">
        <v>8</v>
      </c>
      <c r="V314" s="19">
        <f t="shared" si="4"/>
        <v>100</v>
      </c>
    </row>
    <row r="315" spans="1:22" ht="15" customHeight="1">
      <c r="A315" s="6" t="s">
        <v>905</v>
      </c>
      <c r="B315" s="7" t="s">
        <v>906</v>
      </c>
      <c r="C315" s="7" t="s">
        <v>902</v>
      </c>
      <c r="D315" s="18">
        <v>2</v>
      </c>
      <c r="E315" s="18">
        <v>1</v>
      </c>
      <c r="F315" s="18">
        <v>1</v>
      </c>
      <c r="G315" s="18">
        <v>3</v>
      </c>
      <c r="H315" s="18">
        <v>2</v>
      </c>
      <c r="I315" s="18">
        <v>3</v>
      </c>
      <c r="J315" s="18">
        <v>1</v>
      </c>
      <c r="K315" s="18">
        <v>5</v>
      </c>
      <c r="L315" s="18">
        <v>0</v>
      </c>
      <c r="M315" s="18">
        <v>2</v>
      </c>
      <c r="N315" s="18">
        <v>0</v>
      </c>
      <c r="O315" s="18">
        <v>3</v>
      </c>
      <c r="P315" s="18">
        <v>1</v>
      </c>
      <c r="Q315" s="18">
        <v>2</v>
      </c>
      <c r="R315" s="18">
        <v>5</v>
      </c>
      <c r="S315" s="18">
        <v>0</v>
      </c>
      <c r="T315" s="18">
        <v>25</v>
      </c>
      <c r="U315" s="18">
        <v>44</v>
      </c>
      <c r="V315" s="19">
        <f t="shared" si="4"/>
        <v>100</v>
      </c>
    </row>
    <row r="316" spans="1:22" ht="15" customHeight="1">
      <c r="A316" s="6" t="s">
        <v>907</v>
      </c>
      <c r="B316" s="7" t="s">
        <v>908</v>
      </c>
      <c r="C316" s="7" t="s">
        <v>902</v>
      </c>
      <c r="D316" s="18">
        <v>3</v>
      </c>
      <c r="E316" s="18">
        <v>2</v>
      </c>
      <c r="F316" s="18">
        <v>1</v>
      </c>
      <c r="G316" s="18">
        <v>5</v>
      </c>
      <c r="H316" s="18">
        <v>3</v>
      </c>
      <c r="I316" s="18">
        <v>3</v>
      </c>
      <c r="J316" s="18">
        <v>1</v>
      </c>
      <c r="K316" s="18">
        <v>5</v>
      </c>
      <c r="L316" s="18">
        <v>0</v>
      </c>
      <c r="M316" s="18">
        <v>2</v>
      </c>
      <c r="N316" s="18">
        <v>0</v>
      </c>
      <c r="O316" s="18">
        <v>3</v>
      </c>
      <c r="P316" s="18">
        <v>1</v>
      </c>
      <c r="Q316" s="18">
        <v>3</v>
      </c>
      <c r="R316" s="18">
        <v>10</v>
      </c>
      <c r="S316" s="18">
        <v>5</v>
      </c>
      <c r="T316" s="18">
        <v>20</v>
      </c>
      <c r="U316" s="18">
        <v>33</v>
      </c>
      <c r="V316" s="19">
        <f t="shared" si="4"/>
        <v>100</v>
      </c>
    </row>
    <row r="317" spans="1:22" ht="15" customHeight="1">
      <c r="A317" s="6" t="s">
        <v>909</v>
      </c>
      <c r="B317" s="7" t="s">
        <v>910</v>
      </c>
      <c r="C317" s="7" t="s">
        <v>902</v>
      </c>
      <c r="D317" s="18">
        <v>3</v>
      </c>
      <c r="E317" s="18">
        <v>3</v>
      </c>
      <c r="F317" s="18">
        <v>2</v>
      </c>
      <c r="G317" s="18">
        <v>5</v>
      </c>
      <c r="H317" s="18">
        <v>3</v>
      </c>
      <c r="I317" s="18">
        <v>2</v>
      </c>
      <c r="J317" s="18">
        <v>3</v>
      </c>
      <c r="K317" s="18">
        <v>10</v>
      </c>
      <c r="L317" s="18">
        <v>0</v>
      </c>
      <c r="M317" s="18">
        <v>2</v>
      </c>
      <c r="N317" s="18">
        <v>0</v>
      </c>
      <c r="O317" s="18">
        <v>5</v>
      </c>
      <c r="P317" s="18">
        <v>3</v>
      </c>
      <c r="Q317" s="18">
        <v>2</v>
      </c>
      <c r="R317" s="18">
        <v>3</v>
      </c>
      <c r="S317" s="18">
        <v>5</v>
      </c>
      <c r="T317" s="18">
        <v>25</v>
      </c>
      <c r="U317" s="18">
        <v>24</v>
      </c>
      <c r="V317" s="19">
        <f t="shared" si="4"/>
        <v>100</v>
      </c>
    </row>
    <row r="318" spans="1:22" ht="15" customHeight="1">
      <c r="A318" s="6" t="s">
        <v>911</v>
      </c>
      <c r="B318" s="7" t="s">
        <v>912</v>
      </c>
      <c r="C318" s="7" t="s">
        <v>902</v>
      </c>
      <c r="D318" s="18">
        <v>3</v>
      </c>
      <c r="E318" s="18">
        <v>3</v>
      </c>
      <c r="F318" s="18">
        <v>2</v>
      </c>
      <c r="G318" s="18">
        <v>5</v>
      </c>
      <c r="H318" s="18">
        <v>2</v>
      </c>
      <c r="I318" s="18">
        <v>3</v>
      </c>
      <c r="J318" s="18">
        <v>2</v>
      </c>
      <c r="K318" s="18">
        <v>12</v>
      </c>
      <c r="L318" s="18">
        <v>0</v>
      </c>
      <c r="M318" s="18">
        <v>2</v>
      </c>
      <c r="N318" s="18">
        <v>2</v>
      </c>
      <c r="O318" s="18">
        <v>3</v>
      </c>
      <c r="P318" s="18">
        <v>3</v>
      </c>
      <c r="Q318" s="18">
        <v>5</v>
      </c>
      <c r="R318" s="18">
        <v>3</v>
      </c>
      <c r="S318" s="18">
        <v>10</v>
      </c>
      <c r="T318" s="18">
        <v>15</v>
      </c>
      <c r="U318" s="18">
        <v>25</v>
      </c>
      <c r="V318" s="19">
        <f t="shared" si="4"/>
        <v>100</v>
      </c>
    </row>
    <row r="319" spans="1:22" ht="15" customHeight="1">
      <c r="A319" s="6" t="s">
        <v>913</v>
      </c>
      <c r="B319" s="7" t="s">
        <v>914</v>
      </c>
      <c r="C319" s="7" t="s">
        <v>902</v>
      </c>
      <c r="D319" s="18">
        <v>5</v>
      </c>
      <c r="E319" s="18">
        <v>5</v>
      </c>
      <c r="F319" s="18">
        <v>5</v>
      </c>
      <c r="G319" s="18">
        <v>10</v>
      </c>
      <c r="H319" s="18">
        <v>3</v>
      </c>
      <c r="I319" s="18">
        <v>5</v>
      </c>
      <c r="J319" s="18">
        <v>3</v>
      </c>
      <c r="K319" s="18">
        <v>30</v>
      </c>
      <c r="L319" s="18">
        <v>1</v>
      </c>
      <c r="M319" s="18">
        <v>2</v>
      </c>
      <c r="N319" s="18">
        <v>1</v>
      </c>
      <c r="O319" s="18">
        <v>3</v>
      </c>
      <c r="P319" s="18">
        <v>8</v>
      </c>
      <c r="Q319" s="18">
        <v>2</v>
      </c>
      <c r="R319" s="18">
        <v>3</v>
      </c>
      <c r="S319" s="18">
        <v>0</v>
      </c>
      <c r="T319" s="18">
        <v>8</v>
      </c>
      <c r="U319" s="18">
        <v>6</v>
      </c>
      <c r="V319" s="19">
        <f t="shared" si="4"/>
        <v>100</v>
      </c>
    </row>
    <row r="320" spans="1:22" ht="15" customHeight="1">
      <c r="A320" s="6" t="s">
        <v>915</v>
      </c>
      <c r="B320" s="7" t="s">
        <v>916</v>
      </c>
      <c r="C320" s="7" t="s">
        <v>902</v>
      </c>
      <c r="D320" s="18">
        <v>3</v>
      </c>
      <c r="E320" s="18">
        <v>3</v>
      </c>
      <c r="F320" s="18">
        <v>5</v>
      </c>
      <c r="G320" s="18">
        <v>5</v>
      </c>
      <c r="H320" s="18">
        <v>2</v>
      </c>
      <c r="I320" s="18">
        <v>2</v>
      </c>
      <c r="J320" s="18">
        <v>3</v>
      </c>
      <c r="K320" s="18">
        <v>25</v>
      </c>
      <c r="L320" s="18">
        <v>2</v>
      </c>
      <c r="M320" s="18">
        <v>2</v>
      </c>
      <c r="N320" s="18">
        <v>2</v>
      </c>
      <c r="O320" s="18">
        <v>3</v>
      </c>
      <c r="P320" s="18">
        <v>3</v>
      </c>
      <c r="Q320" s="18">
        <v>10</v>
      </c>
      <c r="R320" s="18">
        <v>2</v>
      </c>
      <c r="S320" s="18">
        <v>0</v>
      </c>
      <c r="T320" s="18">
        <v>10</v>
      </c>
      <c r="U320" s="18">
        <v>18</v>
      </c>
      <c r="V320" s="19">
        <f t="shared" si="4"/>
        <v>100</v>
      </c>
    </row>
    <row r="321" spans="1:22" ht="15" customHeight="1">
      <c r="A321" s="6" t="s">
        <v>917</v>
      </c>
      <c r="B321" s="7" t="s">
        <v>918</v>
      </c>
      <c r="C321" s="7" t="s">
        <v>902</v>
      </c>
      <c r="D321" s="18">
        <v>3</v>
      </c>
      <c r="E321" s="18">
        <v>2</v>
      </c>
      <c r="F321" s="18">
        <v>1</v>
      </c>
      <c r="G321" s="18">
        <v>5</v>
      </c>
      <c r="H321" s="18">
        <v>3</v>
      </c>
      <c r="I321" s="18">
        <v>3</v>
      </c>
      <c r="J321" s="18">
        <v>1</v>
      </c>
      <c r="K321" s="18">
        <v>5</v>
      </c>
      <c r="L321" s="18">
        <v>0</v>
      </c>
      <c r="M321" s="18">
        <v>2</v>
      </c>
      <c r="N321" s="18">
        <v>0</v>
      </c>
      <c r="O321" s="18">
        <v>3</v>
      </c>
      <c r="P321" s="18">
        <v>1</v>
      </c>
      <c r="Q321" s="18">
        <v>3</v>
      </c>
      <c r="R321" s="18">
        <v>10</v>
      </c>
      <c r="S321" s="18">
        <v>5</v>
      </c>
      <c r="T321" s="18">
        <v>20</v>
      </c>
      <c r="U321" s="18">
        <v>33</v>
      </c>
      <c r="V321" s="19">
        <f t="shared" si="4"/>
        <v>100</v>
      </c>
    </row>
    <row r="322" spans="1:22" ht="15" customHeight="1">
      <c r="A322" s="6" t="s">
        <v>919</v>
      </c>
      <c r="B322" s="7" t="s">
        <v>920</v>
      </c>
      <c r="C322" s="7" t="s">
        <v>902</v>
      </c>
      <c r="D322" s="18">
        <v>3</v>
      </c>
      <c r="E322" s="18">
        <v>3</v>
      </c>
      <c r="F322" s="18">
        <v>2</v>
      </c>
      <c r="G322" s="18">
        <v>8</v>
      </c>
      <c r="H322" s="18">
        <v>5</v>
      </c>
      <c r="I322" s="18">
        <v>3</v>
      </c>
      <c r="J322" s="18">
        <v>2</v>
      </c>
      <c r="K322" s="18">
        <v>8</v>
      </c>
      <c r="L322" s="18">
        <v>0</v>
      </c>
      <c r="M322" s="18">
        <v>2</v>
      </c>
      <c r="N322" s="18">
        <v>0</v>
      </c>
      <c r="O322" s="18">
        <v>5</v>
      </c>
      <c r="P322" s="18">
        <v>3</v>
      </c>
      <c r="Q322" s="18">
        <v>3</v>
      </c>
      <c r="R322" s="18">
        <v>18</v>
      </c>
      <c r="S322" s="18">
        <v>0</v>
      </c>
      <c r="T322" s="18">
        <v>15</v>
      </c>
      <c r="U322" s="18">
        <v>20</v>
      </c>
      <c r="V322" s="19">
        <f t="shared" ref="V322:V385" si="5">SUM(D322:U322)</f>
        <v>100</v>
      </c>
    </row>
    <row r="323" spans="1:22" ht="15" customHeight="1">
      <c r="A323" s="6" t="s">
        <v>921</v>
      </c>
      <c r="B323" s="7" t="s">
        <v>922</v>
      </c>
      <c r="C323" s="7" t="s">
        <v>902</v>
      </c>
      <c r="D323" s="18">
        <v>5</v>
      </c>
      <c r="E323" s="18">
        <v>3</v>
      </c>
      <c r="F323" s="18">
        <v>2</v>
      </c>
      <c r="G323" s="18">
        <v>8</v>
      </c>
      <c r="H323" s="18">
        <v>8</v>
      </c>
      <c r="I323" s="18">
        <v>3</v>
      </c>
      <c r="J323" s="18">
        <v>2</v>
      </c>
      <c r="K323" s="18">
        <v>18</v>
      </c>
      <c r="L323" s="18">
        <v>0</v>
      </c>
      <c r="M323" s="18">
        <v>2</v>
      </c>
      <c r="N323" s="18">
        <v>1</v>
      </c>
      <c r="O323" s="18">
        <v>8</v>
      </c>
      <c r="P323" s="18">
        <v>5</v>
      </c>
      <c r="Q323" s="18">
        <v>2</v>
      </c>
      <c r="R323" s="18">
        <v>8</v>
      </c>
      <c r="S323" s="18">
        <v>5</v>
      </c>
      <c r="T323" s="18">
        <v>10</v>
      </c>
      <c r="U323" s="18">
        <v>10</v>
      </c>
      <c r="V323" s="19">
        <f t="shared" si="5"/>
        <v>100</v>
      </c>
    </row>
    <row r="324" spans="1:22" ht="15" customHeight="1">
      <c r="A324" s="6" t="s">
        <v>923</v>
      </c>
      <c r="B324" s="7" t="s">
        <v>924</v>
      </c>
      <c r="C324" s="7" t="s">
        <v>925</v>
      </c>
      <c r="D324" s="18">
        <v>5</v>
      </c>
      <c r="E324" s="18">
        <v>5</v>
      </c>
      <c r="F324" s="18">
        <v>3</v>
      </c>
      <c r="G324" s="18">
        <v>5</v>
      </c>
      <c r="H324" s="18">
        <v>2</v>
      </c>
      <c r="I324" s="18">
        <v>5</v>
      </c>
      <c r="J324" s="18">
        <v>5</v>
      </c>
      <c r="K324" s="18">
        <v>15</v>
      </c>
      <c r="L324" s="18">
        <v>0</v>
      </c>
      <c r="M324" s="18">
        <v>2</v>
      </c>
      <c r="N324" s="18">
        <v>0</v>
      </c>
      <c r="O324" s="18">
        <v>5</v>
      </c>
      <c r="P324" s="18">
        <v>5</v>
      </c>
      <c r="Q324" s="18">
        <v>3</v>
      </c>
      <c r="R324" s="18">
        <v>3</v>
      </c>
      <c r="S324" s="18">
        <v>3</v>
      </c>
      <c r="T324" s="18">
        <v>15</v>
      </c>
      <c r="U324" s="18">
        <v>19</v>
      </c>
      <c r="V324" s="19">
        <f t="shared" si="5"/>
        <v>100</v>
      </c>
    </row>
    <row r="325" spans="1:22" ht="15" customHeight="1">
      <c r="A325" s="6" t="s">
        <v>926</v>
      </c>
      <c r="B325" s="7" t="s">
        <v>927</v>
      </c>
      <c r="C325" s="7" t="s">
        <v>925</v>
      </c>
      <c r="D325" s="18">
        <v>5</v>
      </c>
      <c r="E325" s="18">
        <v>3</v>
      </c>
      <c r="F325" s="18">
        <v>2</v>
      </c>
      <c r="G325" s="18">
        <v>3</v>
      </c>
      <c r="H325" s="18">
        <v>2</v>
      </c>
      <c r="I325" s="18">
        <v>8</v>
      </c>
      <c r="J325" s="18">
        <v>2</v>
      </c>
      <c r="K325" s="18">
        <v>8</v>
      </c>
      <c r="L325" s="18">
        <v>0</v>
      </c>
      <c r="M325" s="18">
        <v>2</v>
      </c>
      <c r="N325" s="18">
        <v>0</v>
      </c>
      <c r="O325" s="18">
        <v>3</v>
      </c>
      <c r="P325" s="18">
        <v>3</v>
      </c>
      <c r="Q325" s="18">
        <v>2</v>
      </c>
      <c r="R325" s="18">
        <v>2</v>
      </c>
      <c r="S325" s="18">
        <v>0</v>
      </c>
      <c r="T325" s="18">
        <v>15</v>
      </c>
      <c r="U325" s="18">
        <v>40</v>
      </c>
      <c r="V325" s="19">
        <f t="shared" si="5"/>
        <v>100</v>
      </c>
    </row>
    <row r="326" spans="1:22" ht="15" customHeight="1">
      <c r="A326" s="6" t="s">
        <v>928</v>
      </c>
      <c r="B326" s="7" t="s">
        <v>929</v>
      </c>
      <c r="C326" s="7" t="s">
        <v>930</v>
      </c>
      <c r="D326" s="18">
        <v>5</v>
      </c>
      <c r="E326" s="18">
        <v>3</v>
      </c>
      <c r="F326" s="18">
        <v>2</v>
      </c>
      <c r="G326" s="18">
        <v>3</v>
      </c>
      <c r="H326" s="18">
        <v>3</v>
      </c>
      <c r="I326" s="18">
        <v>5</v>
      </c>
      <c r="J326" s="18">
        <v>1</v>
      </c>
      <c r="K326" s="18">
        <v>30</v>
      </c>
      <c r="L326" s="18">
        <v>0</v>
      </c>
      <c r="M326" s="18">
        <v>2</v>
      </c>
      <c r="N326" s="18">
        <v>2</v>
      </c>
      <c r="O326" s="18">
        <v>2</v>
      </c>
      <c r="P326" s="18">
        <v>8</v>
      </c>
      <c r="Q326" s="18">
        <v>2</v>
      </c>
      <c r="R326" s="18">
        <v>2</v>
      </c>
      <c r="S326" s="18">
        <v>0</v>
      </c>
      <c r="T326" s="18">
        <v>15</v>
      </c>
      <c r="U326" s="18">
        <v>15</v>
      </c>
      <c r="V326" s="19">
        <f t="shared" si="5"/>
        <v>100</v>
      </c>
    </row>
    <row r="327" spans="1:22" ht="15" customHeight="1">
      <c r="A327" s="6" t="s">
        <v>931</v>
      </c>
      <c r="B327" s="7" t="s">
        <v>932</v>
      </c>
      <c r="C327" s="7" t="s">
        <v>930</v>
      </c>
      <c r="D327" s="18">
        <v>10</v>
      </c>
      <c r="E327" s="18">
        <v>2</v>
      </c>
      <c r="F327" s="18">
        <v>1</v>
      </c>
      <c r="G327" s="18">
        <v>2</v>
      </c>
      <c r="H327" s="18">
        <v>5</v>
      </c>
      <c r="I327" s="18">
        <v>5</v>
      </c>
      <c r="J327" s="18">
        <v>1</v>
      </c>
      <c r="K327" s="18">
        <v>25</v>
      </c>
      <c r="L327" s="18">
        <v>0</v>
      </c>
      <c r="M327" s="18">
        <v>2</v>
      </c>
      <c r="N327" s="18">
        <v>0</v>
      </c>
      <c r="O327" s="18">
        <v>1</v>
      </c>
      <c r="P327" s="18">
        <v>2</v>
      </c>
      <c r="Q327" s="18">
        <v>1</v>
      </c>
      <c r="R327" s="18">
        <v>1</v>
      </c>
      <c r="S327" s="18">
        <v>0</v>
      </c>
      <c r="T327" s="18">
        <v>20</v>
      </c>
      <c r="U327" s="18">
        <v>22</v>
      </c>
      <c r="V327" s="19">
        <f t="shared" si="5"/>
        <v>100</v>
      </c>
    </row>
    <row r="328" spans="1:22" ht="15" customHeight="1">
      <c r="A328" s="6" t="s">
        <v>933</v>
      </c>
      <c r="B328" s="7" t="s">
        <v>934</v>
      </c>
      <c r="C328" s="7" t="s">
        <v>930</v>
      </c>
      <c r="D328" s="18">
        <v>5</v>
      </c>
      <c r="E328" s="18">
        <v>5</v>
      </c>
      <c r="F328" s="18">
        <v>3</v>
      </c>
      <c r="G328" s="18">
        <v>3</v>
      </c>
      <c r="H328" s="18">
        <v>3</v>
      </c>
      <c r="I328" s="18">
        <v>5</v>
      </c>
      <c r="J328" s="18">
        <v>3</v>
      </c>
      <c r="K328" s="18">
        <v>40</v>
      </c>
      <c r="L328" s="18">
        <v>0</v>
      </c>
      <c r="M328" s="18">
        <v>2</v>
      </c>
      <c r="N328" s="18">
        <v>2</v>
      </c>
      <c r="O328" s="18">
        <v>3</v>
      </c>
      <c r="P328" s="18">
        <v>15</v>
      </c>
      <c r="Q328" s="18">
        <v>2</v>
      </c>
      <c r="R328" s="18">
        <v>2</v>
      </c>
      <c r="S328" s="18">
        <v>0</v>
      </c>
      <c r="T328" s="18">
        <v>5</v>
      </c>
      <c r="U328" s="18">
        <v>2</v>
      </c>
      <c r="V328" s="19">
        <f t="shared" si="5"/>
        <v>100</v>
      </c>
    </row>
    <row r="329" spans="1:22" ht="15" customHeight="1">
      <c r="A329" s="6" t="s">
        <v>935</v>
      </c>
      <c r="B329" s="7" t="s">
        <v>936</v>
      </c>
      <c r="C329" s="7" t="s">
        <v>930</v>
      </c>
      <c r="D329" s="18">
        <v>8</v>
      </c>
      <c r="E329" s="18">
        <v>3</v>
      </c>
      <c r="F329" s="18">
        <v>3</v>
      </c>
      <c r="G329" s="18">
        <v>3</v>
      </c>
      <c r="H329" s="18">
        <v>3</v>
      </c>
      <c r="I329" s="18">
        <v>8</v>
      </c>
      <c r="J329" s="18">
        <v>2</v>
      </c>
      <c r="K329" s="18">
        <v>25</v>
      </c>
      <c r="L329" s="18">
        <v>0</v>
      </c>
      <c r="M329" s="18">
        <v>5</v>
      </c>
      <c r="N329" s="18">
        <v>0</v>
      </c>
      <c r="O329" s="18">
        <v>3</v>
      </c>
      <c r="P329" s="18">
        <v>3</v>
      </c>
      <c r="Q329" s="18">
        <v>3</v>
      </c>
      <c r="R329" s="18">
        <v>2</v>
      </c>
      <c r="S329" s="18">
        <v>10</v>
      </c>
      <c r="T329" s="18">
        <v>15</v>
      </c>
      <c r="U329" s="18">
        <v>4</v>
      </c>
      <c r="V329" s="19">
        <f t="shared" si="5"/>
        <v>100</v>
      </c>
    </row>
    <row r="330" spans="1:22" ht="15" customHeight="1">
      <c r="A330" s="6" t="s">
        <v>937</v>
      </c>
      <c r="B330" s="7" t="s">
        <v>938</v>
      </c>
      <c r="C330" s="7" t="s">
        <v>930</v>
      </c>
      <c r="D330" s="18">
        <v>3</v>
      </c>
      <c r="E330" s="18">
        <v>3</v>
      </c>
      <c r="F330" s="18">
        <v>3</v>
      </c>
      <c r="G330" s="18">
        <v>3</v>
      </c>
      <c r="H330" s="18">
        <v>5</v>
      </c>
      <c r="I330" s="18">
        <v>3</v>
      </c>
      <c r="J330" s="18">
        <v>3</v>
      </c>
      <c r="K330" s="18">
        <v>30</v>
      </c>
      <c r="L330" s="18">
        <v>0</v>
      </c>
      <c r="M330" s="18">
        <v>5</v>
      </c>
      <c r="N330" s="18">
        <v>1</v>
      </c>
      <c r="O330" s="18">
        <v>3</v>
      </c>
      <c r="P330" s="18">
        <v>15</v>
      </c>
      <c r="Q330" s="18">
        <v>3</v>
      </c>
      <c r="R330" s="18">
        <v>3</v>
      </c>
      <c r="S330" s="18">
        <v>0</v>
      </c>
      <c r="T330" s="18">
        <v>10</v>
      </c>
      <c r="U330" s="18">
        <v>7</v>
      </c>
      <c r="V330" s="19">
        <f t="shared" si="5"/>
        <v>100</v>
      </c>
    </row>
    <row r="331" spans="1:22" ht="15" customHeight="1">
      <c r="A331" s="6" t="s">
        <v>939</v>
      </c>
      <c r="B331" s="7" t="s">
        <v>940</v>
      </c>
      <c r="C331" s="7" t="s">
        <v>930</v>
      </c>
      <c r="D331" s="18">
        <v>5</v>
      </c>
      <c r="E331" s="18">
        <v>3</v>
      </c>
      <c r="F331" s="18">
        <v>3</v>
      </c>
      <c r="G331" s="18">
        <v>3</v>
      </c>
      <c r="H331" s="18">
        <v>3</v>
      </c>
      <c r="I331" s="18">
        <v>5</v>
      </c>
      <c r="J331" s="18">
        <v>2</v>
      </c>
      <c r="K331" s="18">
        <v>30</v>
      </c>
      <c r="L331" s="18">
        <v>0</v>
      </c>
      <c r="M331" s="18">
        <v>3</v>
      </c>
      <c r="N331" s="18">
        <v>2</v>
      </c>
      <c r="O331" s="18">
        <v>3</v>
      </c>
      <c r="P331" s="18">
        <v>12</v>
      </c>
      <c r="Q331" s="18">
        <v>3</v>
      </c>
      <c r="R331" s="18">
        <v>3</v>
      </c>
      <c r="S331" s="18">
        <v>0</v>
      </c>
      <c r="T331" s="18">
        <v>10</v>
      </c>
      <c r="U331" s="18">
        <v>10</v>
      </c>
      <c r="V331" s="19">
        <f t="shared" si="5"/>
        <v>100</v>
      </c>
    </row>
    <row r="332" spans="1:22" ht="15" customHeight="1">
      <c r="A332" s="6" t="s">
        <v>941</v>
      </c>
      <c r="B332" s="7" t="s">
        <v>942</v>
      </c>
      <c r="C332" s="7" t="s">
        <v>930</v>
      </c>
      <c r="D332" s="18">
        <v>5</v>
      </c>
      <c r="E332" s="18">
        <v>5</v>
      </c>
      <c r="F332" s="18">
        <v>3</v>
      </c>
      <c r="G332" s="18">
        <v>5</v>
      </c>
      <c r="H332" s="18">
        <v>8</v>
      </c>
      <c r="I332" s="18">
        <v>5</v>
      </c>
      <c r="J332" s="18">
        <v>3</v>
      </c>
      <c r="K332" s="18">
        <v>20</v>
      </c>
      <c r="L332" s="18">
        <v>0</v>
      </c>
      <c r="M332" s="18">
        <v>2</v>
      </c>
      <c r="N332" s="18">
        <v>0</v>
      </c>
      <c r="O332" s="18">
        <v>5</v>
      </c>
      <c r="P332" s="18">
        <v>15</v>
      </c>
      <c r="Q332" s="18">
        <v>2</v>
      </c>
      <c r="R332" s="18">
        <v>3</v>
      </c>
      <c r="S332" s="18">
        <v>0</v>
      </c>
      <c r="T332" s="18">
        <v>10</v>
      </c>
      <c r="U332" s="18">
        <v>9</v>
      </c>
      <c r="V332" s="19">
        <f t="shared" si="5"/>
        <v>100</v>
      </c>
    </row>
    <row r="333" spans="1:22" ht="15" customHeight="1">
      <c r="A333" s="6" t="s">
        <v>943</v>
      </c>
      <c r="B333" s="7" t="s">
        <v>944</v>
      </c>
      <c r="C333" s="7" t="s">
        <v>930</v>
      </c>
      <c r="D333" s="18">
        <v>8</v>
      </c>
      <c r="E333" s="18">
        <v>5</v>
      </c>
      <c r="F333" s="18">
        <v>3</v>
      </c>
      <c r="G333" s="18">
        <v>5</v>
      </c>
      <c r="H333" s="18">
        <v>8</v>
      </c>
      <c r="I333" s="18">
        <v>5</v>
      </c>
      <c r="J333" s="18">
        <v>3</v>
      </c>
      <c r="K333" s="18">
        <v>20</v>
      </c>
      <c r="L333" s="18">
        <v>0</v>
      </c>
      <c r="M333" s="18">
        <v>2</v>
      </c>
      <c r="N333" s="18">
        <v>0</v>
      </c>
      <c r="O333" s="18">
        <v>5</v>
      </c>
      <c r="P333" s="18">
        <v>15</v>
      </c>
      <c r="Q333" s="18">
        <v>2</v>
      </c>
      <c r="R333" s="18">
        <v>3</v>
      </c>
      <c r="S333" s="18">
        <v>0</v>
      </c>
      <c r="T333" s="18">
        <v>8</v>
      </c>
      <c r="U333" s="18">
        <v>8</v>
      </c>
      <c r="V333" s="19">
        <f t="shared" si="5"/>
        <v>100</v>
      </c>
    </row>
    <row r="334" spans="1:22" ht="15" customHeight="1">
      <c r="A334" s="6" t="s">
        <v>945</v>
      </c>
      <c r="B334" s="7" t="s">
        <v>946</v>
      </c>
      <c r="C334" s="7" t="s">
        <v>930</v>
      </c>
      <c r="D334" s="18">
        <v>5</v>
      </c>
      <c r="E334" s="18">
        <v>3</v>
      </c>
      <c r="F334" s="18">
        <v>2</v>
      </c>
      <c r="G334" s="18">
        <v>5</v>
      </c>
      <c r="H334" s="18">
        <v>5</v>
      </c>
      <c r="I334" s="18">
        <v>3</v>
      </c>
      <c r="J334" s="18">
        <v>1</v>
      </c>
      <c r="K334" s="18">
        <v>15</v>
      </c>
      <c r="L334" s="18">
        <v>0</v>
      </c>
      <c r="M334" s="18">
        <v>2</v>
      </c>
      <c r="N334" s="18">
        <v>0</v>
      </c>
      <c r="O334" s="18">
        <v>3</v>
      </c>
      <c r="P334" s="18">
        <v>8</v>
      </c>
      <c r="Q334" s="18">
        <v>2</v>
      </c>
      <c r="R334" s="18">
        <v>2</v>
      </c>
      <c r="S334" s="18">
        <v>0</v>
      </c>
      <c r="T334" s="18">
        <v>10</v>
      </c>
      <c r="U334" s="18">
        <v>34</v>
      </c>
      <c r="V334" s="19">
        <f t="shared" si="5"/>
        <v>100</v>
      </c>
    </row>
    <row r="335" spans="1:22" ht="15" customHeight="1">
      <c r="A335" s="6" t="s">
        <v>947</v>
      </c>
      <c r="B335" s="7" t="s">
        <v>948</v>
      </c>
      <c r="C335" s="7" t="s">
        <v>930</v>
      </c>
      <c r="D335" s="18">
        <v>3</v>
      </c>
      <c r="E335" s="18">
        <v>2</v>
      </c>
      <c r="F335" s="18">
        <v>2</v>
      </c>
      <c r="G335" s="18">
        <v>5</v>
      </c>
      <c r="H335" s="18">
        <v>5</v>
      </c>
      <c r="I335" s="18">
        <v>3</v>
      </c>
      <c r="J335" s="18">
        <v>1</v>
      </c>
      <c r="K335" s="18">
        <v>20</v>
      </c>
      <c r="L335" s="18">
        <v>0</v>
      </c>
      <c r="M335" s="18">
        <v>2</v>
      </c>
      <c r="N335" s="18">
        <v>1</v>
      </c>
      <c r="O335" s="18">
        <v>3</v>
      </c>
      <c r="P335" s="18">
        <v>10</v>
      </c>
      <c r="Q335" s="18">
        <v>2</v>
      </c>
      <c r="R335" s="18">
        <v>2</v>
      </c>
      <c r="S335" s="18">
        <v>0</v>
      </c>
      <c r="T335" s="18">
        <v>15</v>
      </c>
      <c r="U335" s="18">
        <v>24</v>
      </c>
      <c r="V335" s="19">
        <f t="shared" si="5"/>
        <v>100</v>
      </c>
    </row>
    <row r="336" spans="1:22" ht="15" customHeight="1">
      <c r="A336" s="6" t="s">
        <v>949</v>
      </c>
      <c r="B336" s="7" t="s">
        <v>950</v>
      </c>
      <c r="C336" s="7" t="s">
        <v>930</v>
      </c>
      <c r="D336" s="18">
        <v>3</v>
      </c>
      <c r="E336" s="18">
        <v>3</v>
      </c>
      <c r="F336" s="18">
        <v>3</v>
      </c>
      <c r="G336" s="18">
        <v>5</v>
      </c>
      <c r="H336" s="18">
        <v>3</v>
      </c>
      <c r="I336" s="18">
        <v>3</v>
      </c>
      <c r="J336" s="18">
        <v>3</v>
      </c>
      <c r="K336" s="18">
        <v>10</v>
      </c>
      <c r="L336" s="18">
        <v>0</v>
      </c>
      <c r="M336" s="18">
        <v>3</v>
      </c>
      <c r="N336" s="18">
        <v>29</v>
      </c>
      <c r="O336" s="18">
        <v>3</v>
      </c>
      <c r="P336" s="18">
        <v>5</v>
      </c>
      <c r="Q336" s="18">
        <v>3</v>
      </c>
      <c r="R336" s="18">
        <v>3</v>
      </c>
      <c r="S336" s="18">
        <v>0</v>
      </c>
      <c r="T336" s="18">
        <v>15</v>
      </c>
      <c r="U336" s="18">
        <v>6</v>
      </c>
      <c r="V336" s="19">
        <f t="shared" si="5"/>
        <v>100</v>
      </c>
    </row>
    <row r="337" spans="1:22" ht="15" customHeight="1">
      <c r="A337" s="6" t="s">
        <v>951</v>
      </c>
      <c r="B337" s="7" t="s">
        <v>952</v>
      </c>
      <c r="C337" s="7" t="s">
        <v>930</v>
      </c>
      <c r="D337" s="18">
        <v>5</v>
      </c>
      <c r="E337" s="18">
        <v>3</v>
      </c>
      <c r="F337" s="18">
        <v>3</v>
      </c>
      <c r="G337" s="18">
        <v>3</v>
      </c>
      <c r="H337" s="18">
        <v>3</v>
      </c>
      <c r="I337" s="18">
        <v>5</v>
      </c>
      <c r="J337" s="18">
        <v>2</v>
      </c>
      <c r="K337" s="18">
        <v>25</v>
      </c>
      <c r="L337" s="18">
        <v>0</v>
      </c>
      <c r="M337" s="18">
        <v>3</v>
      </c>
      <c r="N337" s="18">
        <v>2</v>
      </c>
      <c r="O337" s="18">
        <v>3</v>
      </c>
      <c r="P337" s="18">
        <v>12</v>
      </c>
      <c r="Q337" s="18">
        <v>3</v>
      </c>
      <c r="R337" s="18">
        <v>3</v>
      </c>
      <c r="S337" s="18">
        <v>0</v>
      </c>
      <c r="T337" s="18">
        <v>12</v>
      </c>
      <c r="U337" s="18">
        <v>13</v>
      </c>
      <c r="V337" s="19">
        <f t="shared" si="5"/>
        <v>100</v>
      </c>
    </row>
    <row r="338" spans="1:22" ht="15" customHeight="1">
      <c r="A338" s="6" t="s">
        <v>953</v>
      </c>
      <c r="B338" s="7" t="s">
        <v>335</v>
      </c>
      <c r="C338" s="7" t="s">
        <v>930</v>
      </c>
      <c r="D338" s="18">
        <v>5</v>
      </c>
      <c r="E338" s="18">
        <v>3</v>
      </c>
      <c r="F338" s="18">
        <v>3</v>
      </c>
      <c r="G338" s="18">
        <v>5</v>
      </c>
      <c r="H338" s="18">
        <v>10</v>
      </c>
      <c r="I338" s="18">
        <v>5</v>
      </c>
      <c r="J338" s="18">
        <v>2</v>
      </c>
      <c r="K338" s="18">
        <v>15</v>
      </c>
      <c r="L338" s="18">
        <v>0</v>
      </c>
      <c r="M338" s="18">
        <v>2</v>
      </c>
      <c r="N338" s="18">
        <v>1</v>
      </c>
      <c r="O338" s="18">
        <v>10</v>
      </c>
      <c r="P338" s="18">
        <v>10</v>
      </c>
      <c r="Q338" s="18">
        <v>2</v>
      </c>
      <c r="R338" s="18">
        <v>10</v>
      </c>
      <c r="S338" s="18">
        <v>0</v>
      </c>
      <c r="T338" s="18">
        <v>12</v>
      </c>
      <c r="U338" s="18">
        <v>5</v>
      </c>
      <c r="V338" s="19">
        <f t="shared" si="5"/>
        <v>100</v>
      </c>
    </row>
    <row r="339" spans="1:22" ht="15" customHeight="1">
      <c r="A339" s="6" t="s">
        <v>954</v>
      </c>
      <c r="B339" s="7" t="s">
        <v>955</v>
      </c>
      <c r="C339" s="7" t="s">
        <v>930</v>
      </c>
      <c r="D339" s="18">
        <v>5</v>
      </c>
      <c r="E339" s="18">
        <v>5</v>
      </c>
      <c r="F339" s="18">
        <v>3</v>
      </c>
      <c r="G339" s="18">
        <v>5</v>
      </c>
      <c r="H339" s="18">
        <v>5</v>
      </c>
      <c r="I339" s="18">
        <v>5</v>
      </c>
      <c r="J339" s="18">
        <v>3</v>
      </c>
      <c r="K339" s="18">
        <v>18</v>
      </c>
      <c r="L339" s="18">
        <v>0</v>
      </c>
      <c r="M339" s="18">
        <v>2</v>
      </c>
      <c r="N339" s="18">
        <v>1</v>
      </c>
      <c r="O339" s="18">
        <v>5</v>
      </c>
      <c r="P339" s="18">
        <v>8</v>
      </c>
      <c r="Q339" s="18">
        <v>3</v>
      </c>
      <c r="R339" s="18">
        <v>15</v>
      </c>
      <c r="S339" s="18">
        <v>0</v>
      </c>
      <c r="T339" s="18">
        <v>10</v>
      </c>
      <c r="U339" s="18">
        <v>7</v>
      </c>
      <c r="V339" s="19">
        <f t="shared" si="5"/>
        <v>100</v>
      </c>
    </row>
    <row r="340" spans="1:22" ht="15" customHeight="1">
      <c r="A340" s="6" t="s">
        <v>956</v>
      </c>
      <c r="B340" s="7" t="s">
        <v>957</v>
      </c>
      <c r="C340" s="7" t="s">
        <v>930</v>
      </c>
      <c r="D340" s="18">
        <v>5</v>
      </c>
      <c r="E340" s="18">
        <v>5</v>
      </c>
      <c r="F340" s="18">
        <v>3</v>
      </c>
      <c r="G340" s="18">
        <v>5</v>
      </c>
      <c r="H340" s="18">
        <v>5</v>
      </c>
      <c r="I340" s="18">
        <v>5</v>
      </c>
      <c r="J340" s="18">
        <v>3</v>
      </c>
      <c r="K340" s="18">
        <v>18</v>
      </c>
      <c r="L340" s="18">
        <v>0</v>
      </c>
      <c r="M340" s="18">
        <v>2</v>
      </c>
      <c r="N340" s="18">
        <v>1</v>
      </c>
      <c r="O340" s="18">
        <v>5</v>
      </c>
      <c r="P340" s="18">
        <v>8</v>
      </c>
      <c r="Q340" s="18">
        <v>3</v>
      </c>
      <c r="R340" s="18">
        <v>18</v>
      </c>
      <c r="S340" s="18">
        <v>0</v>
      </c>
      <c r="T340" s="18">
        <v>8</v>
      </c>
      <c r="U340" s="18">
        <v>6</v>
      </c>
      <c r="V340" s="19">
        <f t="shared" si="5"/>
        <v>100</v>
      </c>
    </row>
    <row r="341" spans="1:22" ht="15" customHeight="1">
      <c r="A341" s="6" t="s">
        <v>958</v>
      </c>
      <c r="B341" s="7" t="s">
        <v>959</v>
      </c>
      <c r="C341" s="7" t="s">
        <v>960</v>
      </c>
      <c r="D341" s="18">
        <v>10</v>
      </c>
      <c r="E341" s="18">
        <v>10</v>
      </c>
      <c r="F341" s="18">
        <v>5</v>
      </c>
      <c r="G341" s="18">
        <v>3</v>
      </c>
      <c r="H341" s="18">
        <v>3</v>
      </c>
      <c r="I341" s="18">
        <v>10</v>
      </c>
      <c r="J341" s="18">
        <v>3</v>
      </c>
      <c r="K341" s="18">
        <v>40</v>
      </c>
      <c r="L341" s="18">
        <v>0</v>
      </c>
      <c r="M341" s="18">
        <v>2</v>
      </c>
      <c r="N341" s="18">
        <v>0</v>
      </c>
      <c r="O341" s="18">
        <v>2</v>
      </c>
      <c r="P341" s="18">
        <v>3</v>
      </c>
      <c r="Q341" s="18">
        <v>2</v>
      </c>
      <c r="R341" s="18">
        <v>2</v>
      </c>
      <c r="S341" s="18">
        <v>0</v>
      </c>
      <c r="T341" s="18">
        <v>3</v>
      </c>
      <c r="U341" s="18">
        <v>2</v>
      </c>
      <c r="V341" s="19">
        <f t="shared" si="5"/>
        <v>100</v>
      </c>
    </row>
    <row r="342" spans="1:22" ht="15" customHeight="1">
      <c r="A342" s="6" t="s">
        <v>961</v>
      </c>
      <c r="B342" s="7" t="s">
        <v>962</v>
      </c>
      <c r="C342" s="7" t="s">
        <v>960</v>
      </c>
      <c r="D342" s="18">
        <v>10</v>
      </c>
      <c r="E342" s="18">
        <v>8</v>
      </c>
      <c r="F342" s="18">
        <v>5</v>
      </c>
      <c r="G342" s="18">
        <v>5</v>
      </c>
      <c r="H342" s="18">
        <v>3</v>
      </c>
      <c r="I342" s="18">
        <v>10</v>
      </c>
      <c r="J342" s="18">
        <v>3</v>
      </c>
      <c r="K342" s="18">
        <v>35</v>
      </c>
      <c r="L342" s="18">
        <v>0</v>
      </c>
      <c r="M342" s="18">
        <v>3</v>
      </c>
      <c r="N342" s="18">
        <v>1</v>
      </c>
      <c r="O342" s="18">
        <v>3</v>
      </c>
      <c r="P342" s="18">
        <v>3</v>
      </c>
      <c r="Q342" s="18">
        <v>2</v>
      </c>
      <c r="R342" s="18">
        <v>3</v>
      </c>
      <c r="S342" s="18">
        <v>0</v>
      </c>
      <c r="T342" s="18">
        <v>3</v>
      </c>
      <c r="U342" s="18">
        <v>3</v>
      </c>
      <c r="V342" s="19">
        <f t="shared" si="5"/>
        <v>100</v>
      </c>
    </row>
    <row r="343" spans="1:22" ht="15" customHeight="1">
      <c r="A343" s="6" t="s">
        <v>963</v>
      </c>
      <c r="B343" s="7" t="s">
        <v>964</v>
      </c>
      <c r="C343" s="7" t="s">
        <v>960</v>
      </c>
      <c r="D343" s="18">
        <v>5</v>
      </c>
      <c r="E343" s="18">
        <v>5</v>
      </c>
      <c r="F343" s="18">
        <v>2</v>
      </c>
      <c r="G343" s="18">
        <v>5</v>
      </c>
      <c r="H343" s="18">
        <v>2</v>
      </c>
      <c r="I343" s="18">
        <v>5</v>
      </c>
      <c r="J343" s="18">
        <v>2</v>
      </c>
      <c r="K343" s="18">
        <v>45</v>
      </c>
      <c r="L343" s="18">
        <v>0</v>
      </c>
      <c r="M343" s="18">
        <v>2</v>
      </c>
      <c r="N343" s="18">
        <v>0</v>
      </c>
      <c r="O343" s="18">
        <v>2</v>
      </c>
      <c r="P343" s="18">
        <v>2</v>
      </c>
      <c r="Q343" s="18">
        <v>2</v>
      </c>
      <c r="R343" s="18">
        <v>2</v>
      </c>
      <c r="S343" s="18">
        <v>0</v>
      </c>
      <c r="T343" s="18">
        <v>10</v>
      </c>
      <c r="U343" s="18">
        <v>9</v>
      </c>
      <c r="V343" s="19">
        <f t="shared" si="5"/>
        <v>100</v>
      </c>
    </row>
    <row r="344" spans="1:22" ht="15" customHeight="1">
      <c r="A344" s="6" t="s">
        <v>965</v>
      </c>
      <c r="B344" s="7" t="s">
        <v>966</v>
      </c>
      <c r="C344" s="7" t="s">
        <v>960</v>
      </c>
      <c r="D344" s="18">
        <v>5</v>
      </c>
      <c r="E344" s="18">
        <v>5</v>
      </c>
      <c r="F344" s="18">
        <v>3</v>
      </c>
      <c r="G344" s="18">
        <v>5</v>
      </c>
      <c r="H344" s="18">
        <v>2</v>
      </c>
      <c r="I344" s="18">
        <v>5</v>
      </c>
      <c r="J344" s="18">
        <v>3</v>
      </c>
      <c r="K344" s="18">
        <v>40</v>
      </c>
      <c r="L344" s="18">
        <v>0</v>
      </c>
      <c r="M344" s="18">
        <v>5</v>
      </c>
      <c r="N344" s="18">
        <v>0</v>
      </c>
      <c r="O344" s="18">
        <v>3</v>
      </c>
      <c r="P344" s="18">
        <v>2</v>
      </c>
      <c r="Q344" s="18">
        <v>3</v>
      </c>
      <c r="R344" s="18">
        <v>3</v>
      </c>
      <c r="S344" s="18">
        <v>0</v>
      </c>
      <c r="T344" s="18">
        <v>10</v>
      </c>
      <c r="U344" s="18">
        <v>6</v>
      </c>
      <c r="V344" s="19">
        <f t="shared" si="5"/>
        <v>100</v>
      </c>
    </row>
    <row r="345" spans="1:22" ht="15" customHeight="1">
      <c r="A345" s="6" t="s">
        <v>967</v>
      </c>
      <c r="B345" s="7" t="s">
        <v>968</v>
      </c>
      <c r="C345" s="7" t="s">
        <v>960</v>
      </c>
      <c r="D345" s="18">
        <v>5</v>
      </c>
      <c r="E345" s="18">
        <v>5</v>
      </c>
      <c r="F345" s="18">
        <v>3</v>
      </c>
      <c r="G345" s="18">
        <v>5</v>
      </c>
      <c r="H345" s="18">
        <v>3</v>
      </c>
      <c r="I345" s="18">
        <v>5</v>
      </c>
      <c r="J345" s="18">
        <v>3</v>
      </c>
      <c r="K345" s="18">
        <v>35</v>
      </c>
      <c r="L345" s="18">
        <v>0</v>
      </c>
      <c r="M345" s="18">
        <v>2</v>
      </c>
      <c r="N345" s="18">
        <v>1</v>
      </c>
      <c r="O345" s="18">
        <v>2</v>
      </c>
      <c r="P345" s="18">
        <v>3</v>
      </c>
      <c r="Q345" s="18">
        <v>2</v>
      </c>
      <c r="R345" s="18">
        <v>2</v>
      </c>
      <c r="S345" s="18">
        <v>0</v>
      </c>
      <c r="T345" s="18">
        <v>12</v>
      </c>
      <c r="U345" s="18">
        <v>12</v>
      </c>
      <c r="V345" s="19">
        <f t="shared" si="5"/>
        <v>100</v>
      </c>
    </row>
    <row r="346" spans="1:22" ht="15" customHeight="1">
      <c r="A346" s="6" t="s">
        <v>969</v>
      </c>
      <c r="B346" s="7" t="s">
        <v>970</v>
      </c>
      <c r="C346" s="7" t="s">
        <v>960</v>
      </c>
      <c r="D346" s="18">
        <v>8</v>
      </c>
      <c r="E346" s="18">
        <v>8</v>
      </c>
      <c r="F346" s="18">
        <v>5</v>
      </c>
      <c r="G346" s="18">
        <v>5</v>
      </c>
      <c r="H346" s="18">
        <v>5</v>
      </c>
      <c r="I346" s="18">
        <v>8</v>
      </c>
      <c r="J346" s="18">
        <v>5</v>
      </c>
      <c r="K346" s="18">
        <v>25</v>
      </c>
      <c r="L346" s="18">
        <v>0</v>
      </c>
      <c r="M346" s="18">
        <v>3</v>
      </c>
      <c r="N346" s="18">
        <v>1</v>
      </c>
      <c r="O346" s="18">
        <v>5</v>
      </c>
      <c r="P346" s="18">
        <v>3</v>
      </c>
      <c r="Q346" s="18">
        <v>5</v>
      </c>
      <c r="R346" s="18">
        <v>8</v>
      </c>
      <c r="S346" s="18">
        <v>0</v>
      </c>
      <c r="T346" s="18">
        <v>3</v>
      </c>
      <c r="U346" s="18">
        <v>3</v>
      </c>
      <c r="V346" s="19">
        <f t="shared" si="5"/>
        <v>100</v>
      </c>
    </row>
    <row r="347" spans="1:22" ht="15" customHeight="1">
      <c r="A347" s="6" t="s">
        <v>971</v>
      </c>
      <c r="B347" s="7" t="s">
        <v>972</v>
      </c>
      <c r="C347" s="7" t="s">
        <v>973</v>
      </c>
      <c r="D347" s="18">
        <v>3</v>
      </c>
      <c r="E347" s="18">
        <v>1</v>
      </c>
      <c r="F347" s="18">
        <v>1</v>
      </c>
      <c r="G347" s="18">
        <v>2</v>
      </c>
      <c r="H347" s="18">
        <v>2</v>
      </c>
      <c r="I347" s="18">
        <v>5</v>
      </c>
      <c r="J347" s="18">
        <v>1</v>
      </c>
      <c r="K347" s="18">
        <v>2</v>
      </c>
      <c r="L347" s="18">
        <v>0</v>
      </c>
      <c r="M347" s="18">
        <v>5</v>
      </c>
      <c r="N347" s="18">
        <v>0</v>
      </c>
      <c r="O347" s="18">
        <v>3</v>
      </c>
      <c r="P347" s="18">
        <v>1</v>
      </c>
      <c r="Q347" s="18">
        <v>3</v>
      </c>
      <c r="R347" s="18">
        <v>3</v>
      </c>
      <c r="S347" s="18">
        <v>0</v>
      </c>
      <c r="T347" s="18">
        <v>40</v>
      </c>
      <c r="U347" s="18">
        <v>28</v>
      </c>
      <c r="V347" s="19">
        <f t="shared" si="5"/>
        <v>100</v>
      </c>
    </row>
    <row r="348" spans="1:22" ht="15" customHeight="1">
      <c r="A348" s="6" t="s">
        <v>974</v>
      </c>
      <c r="B348" s="7" t="s">
        <v>975</v>
      </c>
      <c r="C348" s="7" t="s">
        <v>973</v>
      </c>
      <c r="D348" s="18">
        <v>2</v>
      </c>
      <c r="E348" s="18">
        <v>1</v>
      </c>
      <c r="F348" s="18">
        <v>1</v>
      </c>
      <c r="G348" s="18">
        <v>2</v>
      </c>
      <c r="H348" s="18">
        <v>2</v>
      </c>
      <c r="I348" s="18">
        <v>5</v>
      </c>
      <c r="J348" s="18">
        <v>1</v>
      </c>
      <c r="K348" s="18">
        <v>2</v>
      </c>
      <c r="L348" s="18">
        <v>0</v>
      </c>
      <c r="M348" s="18">
        <v>5</v>
      </c>
      <c r="N348" s="18">
        <v>0</v>
      </c>
      <c r="O348" s="18">
        <v>3</v>
      </c>
      <c r="P348" s="18">
        <v>1</v>
      </c>
      <c r="Q348" s="18">
        <v>3</v>
      </c>
      <c r="R348" s="18">
        <v>3</v>
      </c>
      <c r="S348" s="18">
        <v>0</v>
      </c>
      <c r="T348" s="18">
        <v>45</v>
      </c>
      <c r="U348" s="18">
        <v>24</v>
      </c>
      <c r="V348" s="19">
        <f t="shared" si="5"/>
        <v>100</v>
      </c>
    </row>
    <row r="349" spans="1:22" ht="15" customHeight="1">
      <c r="A349" s="6" t="s">
        <v>976</v>
      </c>
      <c r="B349" s="7" t="s">
        <v>977</v>
      </c>
      <c r="C349" s="7" t="s">
        <v>973</v>
      </c>
      <c r="D349" s="18">
        <v>2</v>
      </c>
      <c r="E349" s="18">
        <v>1</v>
      </c>
      <c r="F349" s="18">
        <v>1</v>
      </c>
      <c r="G349" s="18">
        <v>2</v>
      </c>
      <c r="H349" s="18">
        <v>2</v>
      </c>
      <c r="I349" s="18">
        <v>5</v>
      </c>
      <c r="J349" s="18">
        <v>1</v>
      </c>
      <c r="K349" s="18">
        <v>2</v>
      </c>
      <c r="L349" s="18">
        <v>0</v>
      </c>
      <c r="M349" s="18">
        <v>5</v>
      </c>
      <c r="N349" s="18">
        <v>0</v>
      </c>
      <c r="O349" s="18">
        <v>3</v>
      </c>
      <c r="P349" s="18">
        <v>1</v>
      </c>
      <c r="Q349" s="18">
        <v>3</v>
      </c>
      <c r="R349" s="18">
        <v>3</v>
      </c>
      <c r="S349" s="18">
        <v>0</v>
      </c>
      <c r="T349" s="18">
        <v>45</v>
      </c>
      <c r="U349" s="18">
        <v>24</v>
      </c>
      <c r="V349" s="19">
        <f t="shared" si="5"/>
        <v>100</v>
      </c>
    </row>
    <row r="350" spans="1:22" ht="15" customHeight="1">
      <c r="A350" s="6" t="s">
        <v>978</v>
      </c>
      <c r="B350" s="7" t="s">
        <v>979</v>
      </c>
      <c r="C350" s="7" t="s">
        <v>973</v>
      </c>
      <c r="D350" s="18">
        <v>3</v>
      </c>
      <c r="E350" s="18">
        <v>1</v>
      </c>
      <c r="F350" s="18">
        <v>1</v>
      </c>
      <c r="G350" s="18">
        <v>2</v>
      </c>
      <c r="H350" s="18">
        <v>3</v>
      </c>
      <c r="I350" s="18">
        <v>5</v>
      </c>
      <c r="J350" s="18">
        <v>1</v>
      </c>
      <c r="K350" s="18">
        <v>2</v>
      </c>
      <c r="L350" s="18">
        <v>0</v>
      </c>
      <c r="M350" s="18">
        <v>8</v>
      </c>
      <c r="N350" s="18">
        <v>0</v>
      </c>
      <c r="O350" s="18">
        <v>5</v>
      </c>
      <c r="P350" s="18">
        <v>1</v>
      </c>
      <c r="Q350" s="18">
        <v>3</v>
      </c>
      <c r="R350" s="18">
        <v>3</v>
      </c>
      <c r="S350" s="18">
        <v>0</v>
      </c>
      <c r="T350" s="18">
        <v>40</v>
      </c>
      <c r="U350" s="18">
        <v>22</v>
      </c>
      <c r="V350" s="19">
        <f t="shared" si="5"/>
        <v>100</v>
      </c>
    </row>
    <row r="351" spans="1:22" ht="15" customHeight="1">
      <c r="A351" s="6" t="s">
        <v>980</v>
      </c>
      <c r="B351" s="7" t="s">
        <v>981</v>
      </c>
      <c r="C351" s="7" t="s">
        <v>973</v>
      </c>
      <c r="D351" s="18">
        <v>2</v>
      </c>
      <c r="E351" s="18">
        <v>1</v>
      </c>
      <c r="F351" s="18">
        <v>1</v>
      </c>
      <c r="G351" s="18">
        <v>2</v>
      </c>
      <c r="H351" s="18">
        <v>2</v>
      </c>
      <c r="I351" s="18">
        <v>5</v>
      </c>
      <c r="J351" s="18">
        <v>1</v>
      </c>
      <c r="K351" s="18">
        <v>2</v>
      </c>
      <c r="L351" s="18">
        <v>0</v>
      </c>
      <c r="M351" s="18">
        <v>5</v>
      </c>
      <c r="N351" s="18">
        <v>0</v>
      </c>
      <c r="O351" s="18">
        <v>3</v>
      </c>
      <c r="P351" s="18">
        <v>1</v>
      </c>
      <c r="Q351" s="18">
        <v>3</v>
      </c>
      <c r="R351" s="18">
        <v>3</v>
      </c>
      <c r="S351" s="18">
        <v>0</v>
      </c>
      <c r="T351" s="18">
        <v>45</v>
      </c>
      <c r="U351" s="18">
        <v>24</v>
      </c>
      <c r="V351" s="19">
        <f t="shared" si="5"/>
        <v>100</v>
      </c>
    </row>
    <row r="352" spans="1:22" ht="15" customHeight="1">
      <c r="A352" s="6" t="s">
        <v>982</v>
      </c>
      <c r="B352" s="7" t="s">
        <v>983</v>
      </c>
      <c r="C352" s="7" t="s">
        <v>973</v>
      </c>
      <c r="D352" s="18">
        <v>3</v>
      </c>
      <c r="E352" s="18">
        <v>2</v>
      </c>
      <c r="F352" s="18">
        <v>2</v>
      </c>
      <c r="G352" s="18">
        <v>3</v>
      </c>
      <c r="H352" s="18">
        <v>3</v>
      </c>
      <c r="I352" s="18">
        <v>5</v>
      </c>
      <c r="J352" s="18">
        <v>2</v>
      </c>
      <c r="K352" s="18">
        <v>2</v>
      </c>
      <c r="L352" s="18">
        <v>0</v>
      </c>
      <c r="M352" s="18">
        <v>8</v>
      </c>
      <c r="N352" s="18">
        <v>0</v>
      </c>
      <c r="O352" s="18">
        <v>5</v>
      </c>
      <c r="P352" s="18">
        <v>1</v>
      </c>
      <c r="Q352" s="18">
        <v>3</v>
      </c>
      <c r="R352" s="18">
        <v>3</v>
      </c>
      <c r="S352" s="18">
        <v>0</v>
      </c>
      <c r="T352" s="18">
        <v>30</v>
      </c>
      <c r="U352" s="18">
        <v>28</v>
      </c>
      <c r="V352" s="19">
        <f t="shared" si="5"/>
        <v>100</v>
      </c>
    </row>
    <row r="353" spans="1:22" ht="15" customHeight="1">
      <c r="A353" s="6" t="s">
        <v>984</v>
      </c>
      <c r="B353" s="7" t="s">
        <v>985</v>
      </c>
      <c r="C353" s="7" t="s">
        <v>973</v>
      </c>
      <c r="D353" s="18">
        <v>2</v>
      </c>
      <c r="E353" s="18">
        <v>1</v>
      </c>
      <c r="F353" s="18">
        <v>1</v>
      </c>
      <c r="G353" s="18">
        <v>2</v>
      </c>
      <c r="H353" s="18">
        <v>2</v>
      </c>
      <c r="I353" s="18">
        <v>3</v>
      </c>
      <c r="J353" s="18">
        <v>1</v>
      </c>
      <c r="K353" s="18">
        <v>2</v>
      </c>
      <c r="L353" s="18">
        <v>0</v>
      </c>
      <c r="M353" s="18">
        <v>5</v>
      </c>
      <c r="N353" s="18">
        <v>2</v>
      </c>
      <c r="O353" s="18">
        <v>2</v>
      </c>
      <c r="P353" s="18">
        <v>1</v>
      </c>
      <c r="Q353" s="18">
        <v>3</v>
      </c>
      <c r="R353" s="18">
        <v>3</v>
      </c>
      <c r="S353" s="18">
        <v>0</v>
      </c>
      <c r="T353" s="18">
        <v>45</v>
      </c>
      <c r="U353" s="18">
        <v>25</v>
      </c>
      <c r="V353" s="19">
        <f t="shared" si="5"/>
        <v>100</v>
      </c>
    </row>
    <row r="354" spans="1:22" ht="15" customHeight="1">
      <c r="A354" s="6" t="s">
        <v>986</v>
      </c>
      <c r="B354" s="7" t="s">
        <v>987</v>
      </c>
      <c r="C354" s="7" t="s">
        <v>973</v>
      </c>
      <c r="D354" s="18">
        <v>3</v>
      </c>
      <c r="E354" s="18">
        <v>2</v>
      </c>
      <c r="F354" s="18">
        <v>2</v>
      </c>
      <c r="G354" s="18">
        <v>3</v>
      </c>
      <c r="H354" s="18">
        <v>3</v>
      </c>
      <c r="I354" s="18">
        <v>5</v>
      </c>
      <c r="J354" s="18">
        <v>2</v>
      </c>
      <c r="K354" s="18">
        <v>2</v>
      </c>
      <c r="L354" s="18">
        <v>0</v>
      </c>
      <c r="M354" s="18">
        <v>12</v>
      </c>
      <c r="N354" s="18">
        <v>0</v>
      </c>
      <c r="O354" s="18">
        <v>8</v>
      </c>
      <c r="P354" s="18">
        <v>1</v>
      </c>
      <c r="Q354" s="18">
        <v>3</v>
      </c>
      <c r="R354" s="18">
        <v>5</v>
      </c>
      <c r="S354" s="18">
        <v>0</v>
      </c>
      <c r="T354" s="18">
        <v>30</v>
      </c>
      <c r="U354" s="18">
        <v>19</v>
      </c>
      <c r="V354" s="19">
        <f t="shared" si="5"/>
        <v>100</v>
      </c>
    </row>
    <row r="355" spans="1:22" ht="15" customHeight="1">
      <c r="A355" s="6" t="s">
        <v>988</v>
      </c>
      <c r="B355" s="7" t="s">
        <v>989</v>
      </c>
      <c r="C355" s="7" t="s">
        <v>973</v>
      </c>
      <c r="D355" s="18">
        <v>3</v>
      </c>
      <c r="E355" s="18">
        <v>1</v>
      </c>
      <c r="F355" s="18">
        <v>1</v>
      </c>
      <c r="G355" s="18">
        <v>2</v>
      </c>
      <c r="H355" s="18">
        <v>2</v>
      </c>
      <c r="I355" s="18">
        <v>5</v>
      </c>
      <c r="J355" s="18">
        <v>1</v>
      </c>
      <c r="K355" s="18">
        <v>2</v>
      </c>
      <c r="L355" s="18">
        <v>0</v>
      </c>
      <c r="M355" s="18">
        <v>5</v>
      </c>
      <c r="N355" s="18">
        <v>0</v>
      </c>
      <c r="O355" s="18">
        <v>3</v>
      </c>
      <c r="P355" s="18">
        <v>1</v>
      </c>
      <c r="Q355" s="18">
        <v>3</v>
      </c>
      <c r="R355" s="18">
        <v>3</v>
      </c>
      <c r="S355" s="18">
        <v>0</v>
      </c>
      <c r="T355" s="18">
        <v>40</v>
      </c>
      <c r="U355" s="18">
        <v>28</v>
      </c>
      <c r="V355" s="19">
        <f t="shared" si="5"/>
        <v>100</v>
      </c>
    </row>
    <row r="356" spans="1:22" ht="15" customHeight="1">
      <c r="A356" s="6" t="s">
        <v>990</v>
      </c>
      <c r="B356" s="7" t="s">
        <v>991</v>
      </c>
      <c r="C356" s="7" t="s">
        <v>973</v>
      </c>
      <c r="D356" s="18">
        <v>2</v>
      </c>
      <c r="E356" s="18">
        <v>1</v>
      </c>
      <c r="F356" s="18">
        <v>1</v>
      </c>
      <c r="G356" s="18">
        <v>2</v>
      </c>
      <c r="H356" s="18">
        <v>2</v>
      </c>
      <c r="I356" s="18">
        <v>3</v>
      </c>
      <c r="J356" s="18">
        <v>1</v>
      </c>
      <c r="K356" s="18">
        <v>2</v>
      </c>
      <c r="L356" s="18">
        <v>0</v>
      </c>
      <c r="M356" s="18">
        <v>5</v>
      </c>
      <c r="N356" s="18">
        <v>0</v>
      </c>
      <c r="O356" s="18">
        <v>3</v>
      </c>
      <c r="P356" s="18">
        <v>1</v>
      </c>
      <c r="Q356" s="18">
        <v>3</v>
      </c>
      <c r="R356" s="18">
        <v>3</v>
      </c>
      <c r="S356" s="18">
        <v>0</v>
      </c>
      <c r="T356" s="18">
        <v>48</v>
      </c>
      <c r="U356" s="18">
        <v>23</v>
      </c>
      <c r="V356" s="19">
        <f t="shared" si="5"/>
        <v>100</v>
      </c>
    </row>
    <row r="357" spans="1:22" ht="15" customHeight="1">
      <c r="A357" s="6" t="s">
        <v>992</v>
      </c>
      <c r="B357" s="7" t="s">
        <v>993</v>
      </c>
      <c r="C357" s="7" t="s">
        <v>973</v>
      </c>
      <c r="D357" s="18">
        <v>2</v>
      </c>
      <c r="E357" s="18">
        <v>1</v>
      </c>
      <c r="F357" s="18">
        <v>1</v>
      </c>
      <c r="G357" s="18">
        <v>2</v>
      </c>
      <c r="H357" s="18">
        <v>2</v>
      </c>
      <c r="I357" s="18">
        <v>3</v>
      </c>
      <c r="J357" s="18">
        <v>1</v>
      </c>
      <c r="K357" s="18">
        <v>2</v>
      </c>
      <c r="L357" s="18">
        <v>0</v>
      </c>
      <c r="M357" s="18">
        <v>5</v>
      </c>
      <c r="N357" s="18">
        <v>0</v>
      </c>
      <c r="O357" s="18">
        <v>3</v>
      </c>
      <c r="P357" s="18">
        <v>1</v>
      </c>
      <c r="Q357" s="18">
        <v>3</v>
      </c>
      <c r="R357" s="18">
        <v>3</v>
      </c>
      <c r="S357" s="18">
        <v>0</v>
      </c>
      <c r="T357" s="18">
        <v>25</v>
      </c>
      <c r="U357" s="18">
        <v>46</v>
      </c>
      <c r="V357" s="19">
        <f t="shared" si="5"/>
        <v>100</v>
      </c>
    </row>
    <row r="358" spans="1:22" ht="15" customHeight="1">
      <c r="A358" s="6" t="s">
        <v>994</v>
      </c>
      <c r="B358" s="7" t="s">
        <v>995</v>
      </c>
      <c r="C358" s="7" t="s">
        <v>973</v>
      </c>
      <c r="D358" s="18">
        <v>3</v>
      </c>
      <c r="E358" s="18">
        <v>1</v>
      </c>
      <c r="F358" s="18">
        <v>1</v>
      </c>
      <c r="G358" s="18">
        <v>2</v>
      </c>
      <c r="H358" s="18">
        <v>2</v>
      </c>
      <c r="I358" s="18">
        <v>5</v>
      </c>
      <c r="J358" s="18">
        <v>1</v>
      </c>
      <c r="K358" s="18">
        <v>2</v>
      </c>
      <c r="L358" s="18">
        <v>0</v>
      </c>
      <c r="M358" s="18">
        <v>5</v>
      </c>
      <c r="N358" s="18">
        <v>0</v>
      </c>
      <c r="O358" s="18">
        <v>3</v>
      </c>
      <c r="P358" s="18">
        <v>1</v>
      </c>
      <c r="Q358" s="18">
        <v>3</v>
      </c>
      <c r="R358" s="18">
        <v>3</v>
      </c>
      <c r="S358" s="18">
        <v>0</v>
      </c>
      <c r="T358" s="18">
        <v>40</v>
      </c>
      <c r="U358" s="18">
        <v>28</v>
      </c>
      <c r="V358" s="19">
        <f t="shared" si="5"/>
        <v>100</v>
      </c>
    </row>
    <row r="359" spans="1:22" ht="15" customHeight="1">
      <c r="A359" s="6" t="s">
        <v>996</v>
      </c>
      <c r="B359" s="7" t="s">
        <v>997</v>
      </c>
      <c r="C359" s="7" t="s">
        <v>973</v>
      </c>
      <c r="D359" s="18">
        <v>2</v>
      </c>
      <c r="E359" s="18">
        <v>1</v>
      </c>
      <c r="F359" s="18">
        <v>1</v>
      </c>
      <c r="G359" s="18">
        <v>2</v>
      </c>
      <c r="H359" s="18">
        <v>2</v>
      </c>
      <c r="I359" s="18">
        <v>3</v>
      </c>
      <c r="J359" s="18">
        <v>1</v>
      </c>
      <c r="K359" s="18">
        <v>2</v>
      </c>
      <c r="L359" s="18">
        <v>0</v>
      </c>
      <c r="M359" s="18">
        <v>8</v>
      </c>
      <c r="N359" s="18">
        <v>0</v>
      </c>
      <c r="O359" s="18">
        <v>3</v>
      </c>
      <c r="P359" s="18">
        <v>1</v>
      </c>
      <c r="Q359" s="18">
        <v>3</v>
      </c>
      <c r="R359" s="18">
        <v>3</v>
      </c>
      <c r="S359" s="18">
        <v>0</v>
      </c>
      <c r="T359" s="18">
        <v>50</v>
      </c>
      <c r="U359" s="18">
        <v>18</v>
      </c>
      <c r="V359" s="19">
        <f t="shared" si="5"/>
        <v>100</v>
      </c>
    </row>
    <row r="360" spans="1:22" ht="15" customHeight="1">
      <c r="A360" s="6" t="s">
        <v>998</v>
      </c>
      <c r="B360" s="7" t="s">
        <v>999</v>
      </c>
      <c r="C360" s="7" t="s">
        <v>973</v>
      </c>
      <c r="D360" s="18">
        <v>3</v>
      </c>
      <c r="E360" s="18">
        <v>2</v>
      </c>
      <c r="F360" s="18">
        <v>2</v>
      </c>
      <c r="G360" s="18">
        <v>3</v>
      </c>
      <c r="H360" s="18">
        <v>3</v>
      </c>
      <c r="I360" s="18">
        <v>5</v>
      </c>
      <c r="J360" s="18">
        <v>2</v>
      </c>
      <c r="K360" s="18">
        <v>2</v>
      </c>
      <c r="L360" s="18">
        <v>0</v>
      </c>
      <c r="M360" s="18">
        <v>8</v>
      </c>
      <c r="N360" s="18">
        <v>0</v>
      </c>
      <c r="O360" s="18">
        <v>5</v>
      </c>
      <c r="P360" s="18">
        <v>1</v>
      </c>
      <c r="Q360" s="18">
        <v>3</v>
      </c>
      <c r="R360" s="18">
        <v>3</v>
      </c>
      <c r="S360" s="18">
        <v>0</v>
      </c>
      <c r="T360" s="18">
        <v>30</v>
      </c>
      <c r="U360" s="18">
        <v>28</v>
      </c>
      <c r="V360" s="19">
        <f t="shared" si="5"/>
        <v>100</v>
      </c>
    </row>
    <row r="361" spans="1:22" ht="15" customHeight="1">
      <c r="A361" s="6" t="s">
        <v>1000</v>
      </c>
      <c r="B361" s="7" t="s">
        <v>1001</v>
      </c>
      <c r="C361" s="7" t="s">
        <v>973</v>
      </c>
      <c r="D361" s="18">
        <v>2</v>
      </c>
      <c r="E361" s="18">
        <v>1</v>
      </c>
      <c r="F361" s="18">
        <v>1</v>
      </c>
      <c r="G361" s="18">
        <v>2</v>
      </c>
      <c r="H361" s="18">
        <v>2</v>
      </c>
      <c r="I361" s="18">
        <v>5</v>
      </c>
      <c r="J361" s="18">
        <v>1</v>
      </c>
      <c r="K361" s="18">
        <v>2</v>
      </c>
      <c r="L361" s="18">
        <v>0</v>
      </c>
      <c r="M361" s="18">
        <v>5</v>
      </c>
      <c r="N361" s="18">
        <v>0</v>
      </c>
      <c r="O361" s="18">
        <v>3</v>
      </c>
      <c r="P361" s="18">
        <v>1</v>
      </c>
      <c r="Q361" s="18">
        <v>3</v>
      </c>
      <c r="R361" s="18">
        <v>3</v>
      </c>
      <c r="S361" s="18">
        <v>0</v>
      </c>
      <c r="T361" s="18">
        <v>45</v>
      </c>
      <c r="U361" s="18">
        <v>24</v>
      </c>
      <c r="V361" s="19">
        <f t="shared" si="5"/>
        <v>100</v>
      </c>
    </row>
    <row r="362" spans="1:22" ht="15" customHeight="1">
      <c r="A362" s="6" t="s">
        <v>1002</v>
      </c>
      <c r="B362" s="7" t="s">
        <v>1003</v>
      </c>
      <c r="C362" s="7" t="s">
        <v>973</v>
      </c>
      <c r="D362" s="18">
        <v>3</v>
      </c>
      <c r="E362" s="18">
        <v>1</v>
      </c>
      <c r="F362" s="18">
        <v>1</v>
      </c>
      <c r="G362" s="18">
        <v>2</v>
      </c>
      <c r="H362" s="18">
        <v>2</v>
      </c>
      <c r="I362" s="18">
        <v>5</v>
      </c>
      <c r="J362" s="18">
        <v>1</v>
      </c>
      <c r="K362" s="18">
        <v>2</v>
      </c>
      <c r="L362" s="18">
        <v>0</v>
      </c>
      <c r="M362" s="18">
        <v>8</v>
      </c>
      <c r="N362" s="18">
        <v>0</v>
      </c>
      <c r="O362" s="18">
        <v>3</v>
      </c>
      <c r="P362" s="18">
        <v>1</v>
      </c>
      <c r="Q362" s="18">
        <v>3</v>
      </c>
      <c r="R362" s="18">
        <v>3</v>
      </c>
      <c r="S362" s="18">
        <v>0</v>
      </c>
      <c r="T362" s="18">
        <v>48</v>
      </c>
      <c r="U362" s="18">
        <v>17</v>
      </c>
      <c r="V362" s="19">
        <f t="shared" si="5"/>
        <v>100</v>
      </c>
    </row>
    <row r="363" spans="1:22" ht="15" customHeight="1">
      <c r="A363" s="6" t="s">
        <v>1004</v>
      </c>
      <c r="B363" s="7" t="s">
        <v>1005</v>
      </c>
      <c r="C363" s="7" t="s">
        <v>973</v>
      </c>
      <c r="D363" s="18">
        <v>3</v>
      </c>
      <c r="E363" s="18">
        <v>1</v>
      </c>
      <c r="F363" s="18">
        <v>1</v>
      </c>
      <c r="G363" s="18">
        <v>2</v>
      </c>
      <c r="H363" s="18">
        <v>2</v>
      </c>
      <c r="I363" s="18">
        <v>5</v>
      </c>
      <c r="J363" s="18">
        <v>1</v>
      </c>
      <c r="K363" s="18">
        <v>2</v>
      </c>
      <c r="L363" s="18">
        <v>0</v>
      </c>
      <c r="M363" s="18">
        <v>5</v>
      </c>
      <c r="N363" s="18">
        <v>0</v>
      </c>
      <c r="O363" s="18">
        <v>3</v>
      </c>
      <c r="P363" s="18">
        <v>1</v>
      </c>
      <c r="Q363" s="18">
        <v>3</v>
      </c>
      <c r="R363" s="18">
        <v>3</v>
      </c>
      <c r="S363" s="18">
        <v>0</v>
      </c>
      <c r="T363" s="18">
        <v>48</v>
      </c>
      <c r="U363" s="18">
        <v>20</v>
      </c>
      <c r="V363" s="19">
        <f t="shared" si="5"/>
        <v>100</v>
      </c>
    </row>
    <row r="364" spans="1:22" ht="15" customHeight="1">
      <c r="A364" s="6" t="s">
        <v>1006</v>
      </c>
      <c r="B364" s="7" t="s">
        <v>1007</v>
      </c>
      <c r="C364" s="7" t="s">
        <v>973</v>
      </c>
      <c r="D364" s="18">
        <v>5</v>
      </c>
      <c r="E364" s="18">
        <v>2</v>
      </c>
      <c r="F364" s="18">
        <v>2</v>
      </c>
      <c r="G364" s="18">
        <v>2</v>
      </c>
      <c r="H364" s="18">
        <v>3</v>
      </c>
      <c r="I364" s="18">
        <v>15</v>
      </c>
      <c r="J364" s="18">
        <v>2</v>
      </c>
      <c r="K364" s="18">
        <v>2</v>
      </c>
      <c r="L364" s="18">
        <v>0</v>
      </c>
      <c r="M364" s="18">
        <v>10</v>
      </c>
      <c r="N364" s="18">
        <v>0</v>
      </c>
      <c r="O364" s="18">
        <v>5</v>
      </c>
      <c r="P364" s="18">
        <v>1</v>
      </c>
      <c r="Q364" s="18">
        <v>3</v>
      </c>
      <c r="R364" s="18">
        <v>3</v>
      </c>
      <c r="S364" s="18">
        <v>0</v>
      </c>
      <c r="T364" s="18">
        <v>30</v>
      </c>
      <c r="U364" s="18">
        <v>15</v>
      </c>
      <c r="V364" s="19">
        <f t="shared" si="5"/>
        <v>100</v>
      </c>
    </row>
    <row r="365" spans="1:22" ht="15" customHeight="1">
      <c r="A365" s="6" t="s">
        <v>1008</v>
      </c>
      <c r="B365" s="7" t="s">
        <v>1009</v>
      </c>
      <c r="C365" s="7" t="s">
        <v>973</v>
      </c>
      <c r="D365" s="18">
        <v>5</v>
      </c>
      <c r="E365" s="18">
        <v>1</v>
      </c>
      <c r="F365" s="18">
        <v>1</v>
      </c>
      <c r="G365" s="18">
        <v>2</v>
      </c>
      <c r="H365" s="18">
        <v>3</v>
      </c>
      <c r="I365" s="18">
        <v>15</v>
      </c>
      <c r="J365" s="18">
        <v>1</v>
      </c>
      <c r="K365" s="18">
        <v>2</v>
      </c>
      <c r="L365" s="18">
        <v>0</v>
      </c>
      <c r="M365" s="18">
        <v>3</v>
      </c>
      <c r="N365" s="18">
        <v>0</v>
      </c>
      <c r="O365" s="18">
        <v>2</v>
      </c>
      <c r="P365" s="18">
        <v>1</v>
      </c>
      <c r="Q365" s="18">
        <v>3</v>
      </c>
      <c r="R365" s="18">
        <v>2</v>
      </c>
      <c r="S365" s="18">
        <v>0</v>
      </c>
      <c r="T365" s="18">
        <v>30</v>
      </c>
      <c r="U365" s="18">
        <v>29</v>
      </c>
      <c r="V365" s="19">
        <f t="shared" si="5"/>
        <v>100</v>
      </c>
    </row>
    <row r="366" spans="1:22" ht="15" customHeight="1">
      <c r="A366" s="6" t="s">
        <v>1010</v>
      </c>
      <c r="B366" s="7" t="s">
        <v>1011</v>
      </c>
      <c r="C366" s="7" t="s">
        <v>973</v>
      </c>
      <c r="D366" s="18">
        <v>2</v>
      </c>
      <c r="E366" s="18">
        <v>1</v>
      </c>
      <c r="F366" s="18">
        <v>1</v>
      </c>
      <c r="G366" s="18">
        <v>3</v>
      </c>
      <c r="H366" s="18">
        <v>2</v>
      </c>
      <c r="I366" s="18">
        <v>2</v>
      </c>
      <c r="J366" s="18">
        <v>1</v>
      </c>
      <c r="K366" s="18">
        <v>5</v>
      </c>
      <c r="L366" s="18">
        <v>0</v>
      </c>
      <c r="M366" s="18">
        <v>5</v>
      </c>
      <c r="N366" s="18">
        <v>0</v>
      </c>
      <c r="O366" s="18">
        <v>3</v>
      </c>
      <c r="P366" s="18">
        <v>2</v>
      </c>
      <c r="Q366" s="18">
        <v>3</v>
      </c>
      <c r="R366" s="18">
        <v>3</v>
      </c>
      <c r="S366" s="18">
        <v>0</v>
      </c>
      <c r="T366" s="18">
        <v>40</v>
      </c>
      <c r="U366" s="18">
        <v>27</v>
      </c>
      <c r="V366" s="19">
        <f t="shared" si="5"/>
        <v>100</v>
      </c>
    </row>
    <row r="367" spans="1:22" ht="15" customHeight="1">
      <c r="A367" s="6" t="s">
        <v>1012</v>
      </c>
      <c r="B367" s="7" t="s">
        <v>1013</v>
      </c>
      <c r="C367" s="7" t="s">
        <v>973</v>
      </c>
      <c r="D367" s="18">
        <v>3</v>
      </c>
      <c r="E367" s="18">
        <v>1</v>
      </c>
      <c r="F367" s="18">
        <v>1</v>
      </c>
      <c r="G367" s="18">
        <v>2</v>
      </c>
      <c r="H367" s="18">
        <v>2</v>
      </c>
      <c r="I367" s="18">
        <v>5</v>
      </c>
      <c r="J367" s="18">
        <v>1</v>
      </c>
      <c r="K367" s="18">
        <v>2</v>
      </c>
      <c r="L367" s="18">
        <v>0</v>
      </c>
      <c r="M367" s="18">
        <v>5</v>
      </c>
      <c r="N367" s="18">
        <v>0</v>
      </c>
      <c r="O367" s="18">
        <v>3</v>
      </c>
      <c r="P367" s="18">
        <v>1</v>
      </c>
      <c r="Q367" s="18">
        <v>3</v>
      </c>
      <c r="R367" s="18">
        <v>3</v>
      </c>
      <c r="S367" s="18">
        <v>0</v>
      </c>
      <c r="T367" s="18">
        <v>45</v>
      </c>
      <c r="U367" s="18">
        <v>23</v>
      </c>
      <c r="V367" s="19">
        <f t="shared" si="5"/>
        <v>100</v>
      </c>
    </row>
    <row r="368" spans="1:22" ht="15" customHeight="1">
      <c r="A368" s="6" t="s">
        <v>1014</v>
      </c>
      <c r="B368" s="7" t="s">
        <v>1015</v>
      </c>
      <c r="C368" s="7" t="s">
        <v>973</v>
      </c>
      <c r="D368" s="18">
        <v>2</v>
      </c>
      <c r="E368" s="18">
        <v>1</v>
      </c>
      <c r="F368" s="18">
        <v>1</v>
      </c>
      <c r="G368" s="18">
        <v>2</v>
      </c>
      <c r="H368" s="18">
        <v>1</v>
      </c>
      <c r="I368" s="18">
        <v>2</v>
      </c>
      <c r="J368" s="18">
        <v>1</v>
      </c>
      <c r="K368" s="18">
        <v>2</v>
      </c>
      <c r="L368" s="18">
        <v>0</v>
      </c>
      <c r="M368" s="18">
        <v>5</v>
      </c>
      <c r="N368" s="18">
        <v>0</v>
      </c>
      <c r="O368" s="18">
        <v>5</v>
      </c>
      <c r="P368" s="18">
        <v>1</v>
      </c>
      <c r="Q368" s="18">
        <v>3</v>
      </c>
      <c r="R368" s="18">
        <v>3</v>
      </c>
      <c r="S368" s="18">
        <v>0</v>
      </c>
      <c r="T368" s="18">
        <v>25</v>
      </c>
      <c r="U368" s="18">
        <v>46</v>
      </c>
      <c r="V368" s="19">
        <f t="shared" si="5"/>
        <v>100</v>
      </c>
    </row>
    <row r="369" spans="1:22" ht="15" customHeight="1">
      <c r="A369" s="6" t="s">
        <v>1016</v>
      </c>
      <c r="B369" s="7" t="s">
        <v>1017</v>
      </c>
      <c r="C369" s="7" t="s">
        <v>973</v>
      </c>
      <c r="D369" s="18">
        <v>2</v>
      </c>
      <c r="E369" s="18">
        <v>1</v>
      </c>
      <c r="F369" s="18">
        <v>1</v>
      </c>
      <c r="G369" s="18">
        <v>2</v>
      </c>
      <c r="H369" s="18">
        <v>1</v>
      </c>
      <c r="I369" s="18">
        <v>2</v>
      </c>
      <c r="J369" s="18">
        <v>1</v>
      </c>
      <c r="K369" s="18">
        <v>2</v>
      </c>
      <c r="L369" s="18">
        <v>0</v>
      </c>
      <c r="M369" s="18">
        <v>3</v>
      </c>
      <c r="N369" s="18">
        <v>0</v>
      </c>
      <c r="O369" s="18">
        <v>3</v>
      </c>
      <c r="P369" s="18">
        <v>1</v>
      </c>
      <c r="Q369" s="18">
        <v>3</v>
      </c>
      <c r="R369" s="18">
        <v>3</v>
      </c>
      <c r="S369" s="18">
        <v>0</v>
      </c>
      <c r="T369" s="18">
        <v>20</v>
      </c>
      <c r="U369" s="18">
        <v>55</v>
      </c>
      <c r="V369" s="19">
        <f t="shared" si="5"/>
        <v>100</v>
      </c>
    </row>
    <row r="370" spans="1:22" ht="15" customHeight="1">
      <c r="A370" s="6" t="s">
        <v>1018</v>
      </c>
      <c r="B370" s="7" t="s">
        <v>1019</v>
      </c>
      <c r="C370" s="7" t="s">
        <v>973</v>
      </c>
      <c r="D370" s="18">
        <v>2</v>
      </c>
      <c r="E370" s="18">
        <v>1</v>
      </c>
      <c r="F370" s="18">
        <v>1</v>
      </c>
      <c r="G370" s="18">
        <v>3</v>
      </c>
      <c r="H370" s="18">
        <v>1</v>
      </c>
      <c r="I370" s="18">
        <v>3</v>
      </c>
      <c r="J370" s="18">
        <v>1</v>
      </c>
      <c r="K370" s="18">
        <v>2</v>
      </c>
      <c r="L370" s="18">
        <v>0</v>
      </c>
      <c r="M370" s="18">
        <v>5</v>
      </c>
      <c r="N370" s="18">
        <v>0</v>
      </c>
      <c r="O370" s="18">
        <v>3</v>
      </c>
      <c r="P370" s="18">
        <v>1</v>
      </c>
      <c r="Q370" s="18">
        <v>3</v>
      </c>
      <c r="R370" s="18">
        <v>3</v>
      </c>
      <c r="S370" s="18">
        <v>0</v>
      </c>
      <c r="T370" s="18">
        <v>25</v>
      </c>
      <c r="U370" s="18">
        <v>46</v>
      </c>
      <c r="V370" s="19">
        <f t="shared" si="5"/>
        <v>100</v>
      </c>
    </row>
    <row r="371" spans="1:22" ht="15" customHeight="1">
      <c r="A371" s="6" t="s">
        <v>1020</v>
      </c>
      <c r="B371" s="7" t="s">
        <v>1021</v>
      </c>
      <c r="C371" s="7" t="s">
        <v>973</v>
      </c>
      <c r="D371" s="18">
        <v>2</v>
      </c>
      <c r="E371" s="18">
        <v>1</v>
      </c>
      <c r="F371" s="18">
        <v>1</v>
      </c>
      <c r="G371" s="18">
        <v>2</v>
      </c>
      <c r="H371" s="18">
        <v>2</v>
      </c>
      <c r="I371" s="18">
        <v>2</v>
      </c>
      <c r="J371" s="18">
        <v>1</v>
      </c>
      <c r="K371" s="18">
        <v>2</v>
      </c>
      <c r="L371" s="18">
        <v>0</v>
      </c>
      <c r="M371" s="18">
        <v>3</v>
      </c>
      <c r="N371" s="18">
        <v>0</v>
      </c>
      <c r="O371" s="18">
        <v>3</v>
      </c>
      <c r="P371" s="18">
        <v>1</v>
      </c>
      <c r="Q371" s="18">
        <v>3</v>
      </c>
      <c r="R371" s="18">
        <v>3</v>
      </c>
      <c r="S371" s="18">
        <v>0</v>
      </c>
      <c r="T371" s="18">
        <v>25</v>
      </c>
      <c r="U371" s="18">
        <v>49</v>
      </c>
      <c r="V371" s="19">
        <f t="shared" si="5"/>
        <v>100</v>
      </c>
    </row>
    <row r="372" spans="1:22" ht="15" customHeight="1">
      <c r="A372" s="6" t="s">
        <v>1022</v>
      </c>
      <c r="B372" s="7" t="s">
        <v>1023</v>
      </c>
      <c r="C372" s="7" t="s">
        <v>973</v>
      </c>
      <c r="D372" s="18">
        <v>3</v>
      </c>
      <c r="E372" s="18">
        <v>3</v>
      </c>
      <c r="F372" s="18">
        <v>3</v>
      </c>
      <c r="G372" s="18">
        <v>5</v>
      </c>
      <c r="H372" s="18">
        <v>5</v>
      </c>
      <c r="I372" s="18">
        <v>5</v>
      </c>
      <c r="J372" s="18">
        <v>3</v>
      </c>
      <c r="K372" s="18">
        <v>3</v>
      </c>
      <c r="L372" s="18">
        <v>0</v>
      </c>
      <c r="M372" s="18">
        <v>8</v>
      </c>
      <c r="N372" s="18">
        <v>0</v>
      </c>
      <c r="O372" s="18">
        <v>8</v>
      </c>
      <c r="P372" s="18">
        <v>3</v>
      </c>
      <c r="Q372" s="18">
        <v>5</v>
      </c>
      <c r="R372" s="18">
        <v>18</v>
      </c>
      <c r="S372" s="18">
        <v>0</v>
      </c>
      <c r="T372" s="18">
        <v>18</v>
      </c>
      <c r="U372" s="18">
        <v>10</v>
      </c>
      <c r="V372" s="19">
        <f t="shared" si="5"/>
        <v>100</v>
      </c>
    </row>
    <row r="373" spans="1:22" ht="15" customHeight="1">
      <c r="A373" s="6" t="s">
        <v>1024</v>
      </c>
      <c r="B373" s="7" t="s">
        <v>1025</v>
      </c>
      <c r="C373" s="7" t="s">
        <v>1026</v>
      </c>
      <c r="D373" s="18">
        <v>2</v>
      </c>
      <c r="E373" s="18">
        <v>1</v>
      </c>
      <c r="F373" s="18">
        <v>1</v>
      </c>
      <c r="G373" s="18">
        <v>2</v>
      </c>
      <c r="H373" s="18">
        <v>1</v>
      </c>
      <c r="I373" s="18">
        <v>1</v>
      </c>
      <c r="J373" s="18">
        <v>1</v>
      </c>
      <c r="K373" s="18">
        <v>3</v>
      </c>
      <c r="L373" s="18">
        <v>0</v>
      </c>
      <c r="M373" s="18">
        <v>2</v>
      </c>
      <c r="N373" s="18">
        <v>0</v>
      </c>
      <c r="O373" s="18">
        <v>3</v>
      </c>
      <c r="P373" s="18">
        <v>1</v>
      </c>
      <c r="Q373" s="18">
        <v>2</v>
      </c>
      <c r="R373" s="18">
        <v>1</v>
      </c>
      <c r="S373" s="18">
        <v>0</v>
      </c>
      <c r="T373" s="18">
        <v>8</v>
      </c>
      <c r="U373" s="18">
        <v>71</v>
      </c>
      <c r="V373" s="19">
        <f t="shared" si="5"/>
        <v>100</v>
      </c>
    </row>
    <row r="374" spans="1:22" ht="15" customHeight="1">
      <c r="A374" s="6" t="s">
        <v>1027</v>
      </c>
      <c r="B374" s="7" t="s">
        <v>1028</v>
      </c>
      <c r="C374" s="7" t="s">
        <v>1026</v>
      </c>
      <c r="D374" s="18">
        <v>2</v>
      </c>
      <c r="E374" s="18">
        <v>1</v>
      </c>
      <c r="F374" s="18">
        <v>1</v>
      </c>
      <c r="G374" s="18">
        <v>2</v>
      </c>
      <c r="H374" s="18">
        <v>1</v>
      </c>
      <c r="I374" s="18">
        <v>1</v>
      </c>
      <c r="J374" s="18">
        <v>1</v>
      </c>
      <c r="K374" s="18">
        <v>5</v>
      </c>
      <c r="L374" s="18">
        <v>0</v>
      </c>
      <c r="M374" s="18">
        <v>2</v>
      </c>
      <c r="N374" s="18">
        <v>0</v>
      </c>
      <c r="O374" s="18">
        <v>3</v>
      </c>
      <c r="P374" s="18">
        <v>1</v>
      </c>
      <c r="Q374" s="18">
        <v>2</v>
      </c>
      <c r="R374" s="18">
        <v>1</v>
      </c>
      <c r="S374" s="18">
        <v>0</v>
      </c>
      <c r="T374" s="18">
        <v>8</v>
      </c>
      <c r="U374" s="18">
        <v>69</v>
      </c>
      <c r="V374" s="19">
        <f t="shared" si="5"/>
        <v>100</v>
      </c>
    </row>
    <row r="375" spans="1:22" ht="15" customHeight="1">
      <c r="A375" s="6" t="s">
        <v>1029</v>
      </c>
      <c r="B375" s="7" t="s">
        <v>1030</v>
      </c>
      <c r="C375" s="7" t="s">
        <v>1026</v>
      </c>
      <c r="D375" s="18">
        <v>2</v>
      </c>
      <c r="E375" s="18">
        <v>1</v>
      </c>
      <c r="F375" s="18">
        <v>1</v>
      </c>
      <c r="G375" s="18">
        <v>3</v>
      </c>
      <c r="H375" s="18">
        <v>1</v>
      </c>
      <c r="I375" s="18">
        <v>1</v>
      </c>
      <c r="J375" s="18">
        <v>1</v>
      </c>
      <c r="K375" s="18">
        <v>12</v>
      </c>
      <c r="L375" s="18">
        <v>0</v>
      </c>
      <c r="M375" s="18">
        <v>2</v>
      </c>
      <c r="N375" s="18">
        <v>0</v>
      </c>
      <c r="O375" s="18">
        <v>3</v>
      </c>
      <c r="P375" s="18">
        <v>2</v>
      </c>
      <c r="Q375" s="18">
        <v>2</v>
      </c>
      <c r="R375" s="18">
        <v>1</v>
      </c>
      <c r="S375" s="18">
        <v>0</v>
      </c>
      <c r="T375" s="18">
        <v>5</v>
      </c>
      <c r="U375" s="18">
        <v>63</v>
      </c>
      <c r="V375" s="19">
        <f t="shared" si="5"/>
        <v>100</v>
      </c>
    </row>
    <row r="376" spans="1:22" ht="15" customHeight="1">
      <c r="A376" s="6" t="s">
        <v>1031</v>
      </c>
      <c r="B376" s="7" t="s">
        <v>1032</v>
      </c>
      <c r="C376" s="7" t="s">
        <v>1026</v>
      </c>
      <c r="D376" s="18">
        <v>2</v>
      </c>
      <c r="E376" s="18">
        <v>1</v>
      </c>
      <c r="F376" s="18">
        <v>1</v>
      </c>
      <c r="G376" s="18">
        <v>3</v>
      </c>
      <c r="H376" s="18">
        <v>1</v>
      </c>
      <c r="I376" s="18">
        <v>2</v>
      </c>
      <c r="J376" s="18">
        <v>1</v>
      </c>
      <c r="K376" s="18">
        <v>5</v>
      </c>
      <c r="L376" s="18">
        <v>0</v>
      </c>
      <c r="M376" s="18">
        <v>2</v>
      </c>
      <c r="N376" s="18">
        <v>0</v>
      </c>
      <c r="O376" s="18">
        <v>2</v>
      </c>
      <c r="P376" s="18">
        <v>1</v>
      </c>
      <c r="Q376" s="18">
        <v>2</v>
      </c>
      <c r="R376" s="18">
        <v>1</v>
      </c>
      <c r="S376" s="18">
        <v>0</v>
      </c>
      <c r="T376" s="18">
        <v>8</v>
      </c>
      <c r="U376" s="18">
        <v>68</v>
      </c>
      <c r="V376" s="19">
        <f t="shared" si="5"/>
        <v>100</v>
      </c>
    </row>
    <row r="377" spans="1:22" ht="15" customHeight="1">
      <c r="A377" s="6" t="s">
        <v>1033</v>
      </c>
      <c r="B377" s="7" t="s">
        <v>1034</v>
      </c>
      <c r="C377" s="7" t="s">
        <v>1026</v>
      </c>
      <c r="D377" s="18">
        <v>2</v>
      </c>
      <c r="E377" s="18">
        <v>1</v>
      </c>
      <c r="F377" s="18">
        <v>1</v>
      </c>
      <c r="G377" s="18">
        <v>2</v>
      </c>
      <c r="H377" s="18">
        <v>1</v>
      </c>
      <c r="I377" s="18">
        <v>1</v>
      </c>
      <c r="J377" s="18">
        <v>1</v>
      </c>
      <c r="K377" s="18">
        <v>3</v>
      </c>
      <c r="L377" s="18">
        <v>0</v>
      </c>
      <c r="M377" s="18">
        <v>2</v>
      </c>
      <c r="N377" s="18">
        <v>0</v>
      </c>
      <c r="O377" s="18">
        <v>3</v>
      </c>
      <c r="P377" s="18">
        <v>1</v>
      </c>
      <c r="Q377" s="18">
        <v>2</v>
      </c>
      <c r="R377" s="18">
        <v>1</v>
      </c>
      <c r="S377" s="18">
        <v>0</v>
      </c>
      <c r="T377" s="18">
        <v>8</v>
      </c>
      <c r="U377" s="18">
        <v>71</v>
      </c>
      <c r="V377" s="19">
        <f t="shared" si="5"/>
        <v>100</v>
      </c>
    </row>
    <row r="378" spans="1:22" ht="15" customHeight="1">
      <c r="A378" s="6" t="s">
        <v>1035</v>
      </c>
      <c r="B378" s="7" t="s">
        <v>1036</v>
      </c>
      <c r="C378" s="7" t="s">
        <v>1026</v>
      </c>
      <c r="D378" s="18">
        <v>2</v>
      </c>
      <c r="E378" s="18">
        <v>1</v>
      </c>
      <c r="F378" s="18">
        <v>1</v>
      </c>
      <c r="G378" s="18">
        <v>2</v>
      </c>
      <c r="H378" s="18">
        <v>1</v>
      </c>
      <c r="I378" s="18">
        <v>2</v>
      </c>
      <c r="J378" s="18">
        <v>1</v>
      </c>
      <c r="K378" s="18">
        <v>2</v>
      </c>
      <c r="L378" s="18">
        <v>0</v>
      </c>
      <c r="M378" s="18">
        <v>5</v>
      </c>
      <c r="N378" s="18">
        <v>0</v>
      </c>
      <c r="O378" s="18">
        <v>5</v>
      </c>
      <c r="P378" s="18">
        <v>1</v>
      </c>
      <c r="Q378" s="18">
        <v>3</v>
      </c>
      <c r="R378" s="18">
        <v>3</v>
      </c>
      <c r="S378" s="18">
        <v>0</v>
      </c>
      <c r="T378" s="18">
        <v>25</v>
      </c>
      <c r="U378" s="18">
        <v>46</v>
      </c>
      <c r="V378" s="19">
        <f t="shared" si="5"/>
        <v>100</v>
      </c>
    </row>
    <row r="379" spans="1:22" ht="15" customHeight="1">
      <c r="A379" s="6" t="s">
        <v>1037</v>
      </c>
      <c r="B379" s="7" t="s">
        <v>1038</v>
      </c>
      <c r="C379" s="7" t="s">
        <v>1026</v>
      </c>
      <c r="D379" s="18">
        <v>2</v>
      </c>
      <c r="E379" s="18">
        <v>1</v>
      </c>
      <c r="F379" s="18">
        <v>1</v>
      </c>
      <c r="G379" s="18">
        <v>2</v>
      </c>
      <c r="H379" s="18">
        <v>1</v>
      </c>
      <c r="I379" s="18">
        <v>2</v>
      </c>
      <c r="J379" s="18">
        <v>1</v>
      </c>
      <c r="K379" s="18">
        <v>2</v>
      </c>
      <c r="L379" s="18">
        <v>0</v>
      </c>
      <c r="M379" s="18">
        <v>3</v>
      </c>
      <c r="N379" s="18">
        <v>0</v>
      </c>
      <c r="O379" s="18">
        <v>3</v>
      </c>
      <c r="P379" s="18">
        <v>1</v>
      </c>
      <c r="Q379" s="18">
        <v>2</v>
      </c>
      <c r="R379" s="18">
        <v>2</v>
      </c>
      <c r="S379" s="18">
        <v>0</v>
      </c>
      <c r="T379" s="18">
        <v>20</v>
      </c>
      <c r="U379" s="18">
        <v>57</v>
      </c>
      <c r="V379" s="19">
        <f t="shared" si="5"/>
        <v>100</v>
      </c>
    </row>
    <row r="380" spans="1:22" ht="15" customHeight="1">
      <c r="A380" s="6" t="s">
        <v>1039</v>
      </c>
      <c r="B380" s="7" t="s">
        <v>1040</v>
      </c>
      <c r="C380" s="7" t="s">
        <v>1026</v>
      </c>
      <c r="D380" s="18">
        <v>2</v>
      </c>
      <c r="E380" s="18">
        <v>1</v>
      </c>
      <c r="F380" s="18">
        <v>1</v>
      </c>
      <c r="G380" s="18">
        <v>2</v>
      </c>
      <c r="H380" s="18">
        <v>1</v>
      </c>
      <c r="I380" s="18">
        <v>2</v>
      </c>
      <c r="J380" s="18">
        <v>1</v>
      </c>
      <c r="K380" s="18">
        <v>2</v>
      </c>
      <c r="L380" s="18">
        <v>0</v>
      </c>
      <c r="M380" s="18">
        <v>3</v>
      </c>
      <c r="N380" s="18">
        <v>0</v>
      </c>
      <c r="O380" s="18">
        <v>3</v>
      </c>
      <c r="P380" s="18">
        <v>1</v>
      </c>
      <c r="Q380" s="18">
        <v>3</v>
      </c>
      <c r="R380" s="18">
        <v>2</v>
      </c>
      <c r="S380" s="18">
        <v>0</v>
      </c>
      <c r="T380" s="18">
        <v>20</v>
      </c>
      <c r="U380" s="18">
        <v>56</v>
      </c>
      <c r="V380" s="19">
        <f t="shared" si="5"/>
        <v>100</v>
      </c>
    </row>
    <row r="381" spans="1:22" ht="15" customHeight="1">
      <c r="A381" s="6" t="s">
        <v>1041</v>
      </c>
      <c r="B381" s="7" t="s">
        <v>1042</v>
      </c>
      <c r="C381" s="7" t="s">
        <v>1043</v>
      </c>
      <c r="D381" s="18">
        <v>2</v>
      </c>
      <c r="E381" s="18">
        <v>1</v>
      </c>
      <c r="F381" s="18">
        <v>1</v>
      </c>
      <c r="G381" s="18">
        <v>2</v>
      </c>
      <c r="H381" s="18">
        <v>1</v>
      </c>
      <c r="I381" s="18">
        <v>2</v>
      </c>
      <c r="J381" s="18">
        <v>1</v>
      </c>
      <c r="K381" s="18">
        <v>2</v>
      </c>
      <c r="L381" s="18">
        <v>0</v>
      </c>
      <c r="M381" s="18">
        <v>2</v>
      </c>
      <c r="N381" s="18">
        <v>0</v>
      </c>
      <c r="O381" s="18">
        <v>2</v>
      </c>
      <c r="P381" s="18">
        <v>1</v>
      </c>
      <c r="Q381" s="18">
        <v>2</v>
      </c>
      <c r="R381" s="18">
        <v>1</v>
      </c>
      <c r="S381" s="18">
        <v>0</v>
      </c>
      <c r="T381" s="18">
        <v>20</v>
      </c>
      <c r="U381" s="18">
        <v>60</v>
      </c>
      <c r="V381" s="19">
        <f t="shared" si="5"/>
        <v>100</v>
      </c>
    </row>
    <row r="382" spans="1:22" ht="15" customHeight="1">
      <c r="A382" s="6" t="s">
        <v>1044</v>
      </c>
      <c r="B382" s="7" t="s">
        <v>1045</v>
      </c>
      <c r="C382" s="7" t="s">
        <v>1043</v>
      </c>
      <c r="D382" s="18">
        <v>2</v>
      </c>
      <c r="E382" s="18">
        <v>1</v>
      </c>
      <c r="F382" s="18">
        <v>1</v>
      </c>
      <c r="G382" s="18">
        <v>2</v>
      </c>
      <c r="H382" s="18">
        <v>1</v>
      </c>
      <c r="I382" s="18">
        <v>2</v>
      </c>
      <c r="J382" s="18">
        <v>1</v>
      </c>
      <c r="K382" s="18">
        <v>2</v>
      </c>
      <c r="L382" s="18">
        <v>0</v>
      </c>
      <c r="M382" s="18">
        <v>2</v>
      </c>
      <c r="N382" s="18">
        <v>0</v>
      </c>
      <c r="O382" s="18">
        <v>2</v>
      </c>
      <c r="P382" s="18">
        <v>1</v>
      </c>
      <c r="Q382" s="18">
        <v>2</v>
      </c>
      <c r="R382" s="18">
        <v>1</v>
      </c>
      <c r="S382" s="18">
        <v>0</v>
      </c>
      <c r="T382" s="18">
        <v>20</v>
      </c>
      <c r="U382" s="18">
        <v>60</v>
      </c>
      <c r="V382" s="19">
        <f t="shared" si="5"/>
        <v>100</v>
      </c>
    </row>
    <row r="383" spans="1:22" ht="15" customHeight="1">
      <c r="A383" s="6" t="s">
        <v>1046</v>
      </c>
      <c r="B383" s="7" t="s">
        <v>1047</v>
      </c>
      <c r="C383" s="7" t="s">
        <v>1043</v>
      </c>
      <c r="D383" s="18">
        <v>2</v>
      </c>
      <c r="E383" s="18">
        <v>1</v>
      </c>
      <c r="F383" s="18">
        <v>1</v>
      </c>
      <c r="G383" s="18">
        <v>2</v>
      </c>
      <c r="H383" s="18">
        <v>1</v>
      </c>
      <c r="I383" s="18">
        <v>2</v>
      </c>
      <c r="J383" s="18">
        <v>1</v>
      </c>
      <c r="K383" s="18">
        <v>2</v>
      </c>
      <c r="L383" s="18">
        <v>0</v>
      </c>
      <c r="M383" s="18">
        <v>2</v>
      </c>
      <c r="N383" s="18">
        <v>0</v>
      </c>
      <c r="O383" s="18">
        <v>2</v>
      </c>
      <c r="P383" s="18">
        <v>1</v>
      </c>
      <c r="Q383" s="18">
        <v>2</v>
      </c>
      <c r="R383" s="18">
        <v>1</v>
      </c>
      <c r="S383" s="18">
        <v>0</v>
      </c>
      <c r="T383" s="18">
        <v>18</v>
      </c>
      <c r="U383" s="18">
        <v>62</v>
      </c>
      <c r="V383" s="19">
        <f t="shared" si="5"/>
        <v>100</v>
      </c>
    </row>
    <row r="384" spans="1:22" ht="15" customHeight="1">
      <c r="A384" s="6" t="s">
        <v>1048</v>
      </c>
      <c r="B384" s="7" t="s">
        <v>1049</v>
      </c>
      <c r="C384" s="7" t="s">
        <v>1043</v>
      </c>
      <c r="D384" s="18">
        <v>2</v>
      </c>
      <c r="E384" s="18">
        <v>1</v>
      </c>
      <c r="F384" s="18">
        <v>1</v>
      </c>
      <c r="G384" s="18">
        <v>2</v>
      </c>
      <c r="H384" s="18">
        <v>1</v>
      </c>
      <c r="I384" s="18">
        <v>2</v>
      </c>
      <c r="J384" s="18">
        <v>1</v>
      </c>
      <c r="K384" s="18">
        <v>2</v>
      </c>
      <c r="L384" s="18">
        <v>0</v>
      </c>
      <c r="M384" s="18">
        <v>2</v>
      </c>
      <c r="N384" s="18">
        <v>0</v>
      </c>
      <c r="O384" s="18">
        <v>2</v>
      </c>
      <c r="P384" s="18">
        <v>1</v>
      </c>
      <c r="Q384" s="18">
        <v>2</v>
      </c>
      <c r="R384" s="18">
        <v>2</v>
      </c>
      <c r="S384" s="18">
        <v>0</v>
      </c>
      <c r="T384" s="18">
        <v>20</v>
      </c>
      <c r="U384" s="18">
        <v>59</v>
      </c>
      <c r="V384" s="19">
        <f t="shared" si="5"/>
        <v>100</v>
      </c>
    </row>
    <row r="385" spans="1:22" ht="15" customHeight="1">
      <c r="A385" s="6" t="s">
        <v>1050</v>
      </c>
      <c r="B385" s="7" t="s">
        <v>1051</v>
      </c>
      <c r="C385" s="7" t="s">
        <v>1043</v>
      </c>
      <c r="D385" s="18">
        <v>2</v>
      </c>
      <c r="E385" s="18">
        <v>1</v>
      </c>
      <c r="F385" s="18">
        <v>1</v>
      </c>
      <c r="G385" s="18">
        <v>2</v>
      </c>
      <c r="H385" s="18">
        <v>1</v>
      </c>
      <c r="I385" s="18">
        <v>2</v>
      </c>
      <c r="J385" s="18">
        <v>1</v>
      </c>
      <c r="K385" s="18">
        <v>2</v>
      </c>
      <c r="L385" s="18">
        <v>0</v>
      </c>
      <c r="M385" s="18">
        <v>2</v>
      </c>
      <c r="N385" s="18">
        <v>0</v>
      </c>
      <c r="O385" s="18">
        <v>2</v>
      </c>
      <c r="P385" s="18">
        <v>1</v>
      </c>
      <c r="Q385" s="18">
        <v>2</v>
      </c>
      <c r="R385" s="18">
        <v>2</v>
      </c>
      <c r="S385" s="18">
        <v>0</v>
      </c>
      <c r="T385" s="18">
        <v>18</v>
      </c>
      <c r="U385" s="18">
        <v>61</v>
      </c>
      <c r="V385" s="19">
        <f t="shared" si="5"/>
        <v>100</v>
      </c>
    </row>
    <row r="386" spans="1:22" ht="15" customHeight="1">
      <c r="A386" s="6" t="s">
        <v>1052</v>
      </c>
      <c r="B386" s="7" t="s">
        <v>1053</v>
      </c>
      <c r="C386" s="7" t="s">
        <v>1043</v>
      </c>
      <c r="D386" s="18">
        <v>2</v>
      </c>
      <c r="E386" s="18">
        <v>1</v>
      </c>
      <c r="F386" s="18">
        <v>1</v>
      </c>
      <c r="G386" s="18">
        <v>2</v>
      </c>
      <c r="H386" s="18">
        <v>1</v>
      </c>
      <c r="I386" s="18">
        <v>2</v>
      </c>
      <c r="J386" s="18">
        <v>1</v>
      </c>
      <c r="K386" s="18">
        <v>2</v>
      </c>
      <c r="L386" s="18">
        <v>0</v>
      </c>
      <c r="M386" s="18">
        <v>2</v>
      </c>
      <c r="N386" s="18">
        <v>0</v>
      </c>
      <c r="O386" s="18">
        <v>2</v>
      </c>
      <c r="P386" s="18">
        <v>1</v>
      </c>
      <c r="Q386" s="18">
        <v>2</v>
      </c>
      <c r="R386" s="18">
        <v>2</v>
      </c>
      <c r="S386" s="18">
        <v>0</v>
      </c>
      <c r="T386" s="18">
        <v>20</v>
      </c>
      <c r="U386" s="18">
        <v>59</v>
      </c>
      <c r="V386" s="19">
        <f t="shared" ref="V386:V449" si="6">SUM(D386:U386)</f>
        <v>100</v>
      </c>
    </row>
    <row r="387" spans="1:22" ht="15" customHeight="1">
      <c r="A387" s="6" t="s">
        <v>1054</v>
      </c>
      <c r="B387" s="7" t="s">
        <v>1055</v>
      </c>
      <c r="C387" s="7" t="s">
        <v>1043</v>
      </c>
      <c r="D387" s="18">
        <v>3</v>
      </c>
      <c r="E387" s="18">
        <v>1</v>
      </c>
      <c r="F387" s="18">
        <v>1</v>
      </c>
      <c r="G387" s="18">
        <v>2</v>
      </c>
      <c r="H387" s="18">
        <v>1</v>
      </c>
      <c r="I387" s="18">
        <v>5</v>
      </c>
      <c r="J387" s="18">
        <v>1</v>
      </c>
      <c r="K387" s="18">
        <v>2</v>
      </c>
      <c r="L387" s="18">
        <v>0</v>
      </c>
      <c r="M387" s="18">
        <v>2</v>
      </c>
      <c r="N387" s="18">
        <v>0</v>
      </c>
      <c r="O387" s="18">
        <v>2</v>
      </c>
      <c r="P387" s="18">
        <v>1</v>
      </c>
      <c r="Q387" s="18">
        <v>2</v>
      </c>
      <c r="R387" s="18">
        <v>2</v>
      </c>
      <c r="S387" s="18">
        <v>0</v>
      </c>
      <c r="T387" s="18">
        <v>25</v>
      </c>
      <c r="U387" s="18">
        <v>50</v>
      </c>
      <c r="V387" s="19">
        <f t="shared" si="6"/>
        <v>100</v>
      </c>
    </row>
    <row r="388" spans="1:22" ht="15" customHeight="1">
      <c r="A388" s="6" t="s">
        <v>1056</v>
      </c>
      <c r="B388" s="7" t="s">
        <v>1057</v>
      </c>
      <c r="C388" s="7" t="s">
        <v>1043</v>
      </c>
      <c r="D388" s="18">
        <v>2</v>
      </c>
      <c r="E388" s="18">
        <v>1</v>
      </c>
      <c r="F388" s="18">
        <v>1</v>
      </c>
      <c r="G388" s="18">
        <v>2</v>
      </c>
      <c r="H388" s="18">
        <v>1</v>
      </c>
      <c r="I388" s="18">
        <v>2</v>
      </c>
      <c r="J388" s="18">
        <v>1</v>
      </c>
      <c r="K388" s="18">
        <v>2</v>
      </c>
      <c r="L388" s="18">
        <v>0</v>
      </c>
      <c r="M388" s="18">
        <v>2</v>
      </c>
      <c r="N388" s="18">
        <v>0</v>
      </c>
      <c r="O388" s="18">
        <v>2</v>
      </c>
      <c r="P388" s="18">
        <v>1</v>
      </c>
      <c r="Q388" s="18">
        <v>2</v>
      </c>
      <c r="R388" s="18">
        <v>2</v>
      </c>
      <c r="S388" s="18">
        <v>0</v>
      </c>
      <c r="T388" s="18">
        <v>22</v>
      </c>
      <c r="U388" s="18">
        <v>57</v>
      </c>
      <c r="V388" s="19">
        <f t="shared" si="6"/>
        <v>100</v>
      </c>
    </row>
    <row r="389" spans="1:22" ht="15" customHeight="1">
      <c r="A389" s="6" t="s">
        <v>1058</v>
      </c>
      <c r="B389" s="7" t="s">
        <v>1059</v>
      </c>
      <c r="C389" s="7" t="s">
        <v>1060</v>
      </c>
      <c r="D389" s="18">
        <v>5</v>
      </c>
      <c r="E389" s="18">
        <v>2</v>
      </c>
      <c r="F389" s="18">
        <v>1</v>
      </c>
      <c r="G389" s="18">
        <v>3</v>
      </c>
      <c r="H389" s="18">
        <v>1</v>
      </c>
      <c r="I389" s="18">
        <v>8</v>
      </c>
      <c r="J389" s="18">
        <v>1</v>
      </c>
      <c r="K389" s="18">
        <v>5</v>
      </c>
      <c r="L389" s="18">
        <v>0</v>
      </c>
      <c r="M389" s="18">
        <v>2</v>
      </c>
      <c r="N389" s="18">
        <v>0</v>
      </c>
      <c r="O389" s="18">
        <v>2</v>
      </c>
      <c r="P389" s="18">
        <v>1</v>
      </c>
      <c r="Q389" s="18">
        <v>2</v>
      </c>
      <c r="R389" s="18">
        <v>2</v>
      </c>
      <c r="S389" s="18">
        <v>0</v>
      </c>
      <c r="T389" s="18">
        <v>15</v>
      </c>
      <c r="U389" s="18">
        <v>50</v>
      </c>
      <c r="V389" s="19">
        <f t="shared" si="6"/>
        <v>100</v>
      </c>
    </row>
    <row r="390" spans="1:22" ht="15" customHeight="1">
      <c r="A390" s="6" t="s">
        <v>1061</v>
      </c>
      <c r="B390" s="7" t="s">
        <v>1062</v>
      </c>
      <c r="C390" s="7" t="s">
        <v>1060</v>
      </c>
      <c r="D390" s="18">
        <v>10</v>
      </c>
      <c r="E390" s="18">
        <v>5</v>
      </c>
      <c r="F390" s="18">
        <v>2</v>
      </c>
      <c r="G390" s="18">
        <v>3</v>
      </c>
      <c r="H390" s="18">
        <v>2</v>
      </c>
      <c r="I390" s="18">
        <v>8</v>
      </c>
      <c r="J390" s="18">
        <v>2</v>
      </c>
      <c r="K390" s="18">
        <v>8</v>
      </c>
      <c r="L390" s="18">
        <v>0</v>
      </c>
      <c r="M390" s="18">
        <v>2</v>
      </c>
      <c r="N390" s="18">
        <v>0</v>
      </c>
      <c r="O390" s="18">
        <v>2</v>
      </c>
      <c r="P390" s="18">
        <v>1</v>
      </c>
      <c r="Q390" s="18">
        <v>2</v>
      </c>
      <c r="R390" s="18">
        <v>3</v>
      </c>
      <c r="S390" s="18">
        <v>0</v>
      </c>
      <c r="T390" s="18">
        <v>15</v>
      </c>
      <c r="U390" s="18">
        <v>35</v>
      </c>
      <c r="V390" s="19">
        <f t="shared" si="6"/>
        <v>100</v>
      </c>
    </row>
    <row r="391" spans="1:22" ht="15" customHeight="1">
      <c r="A391" s="6" t="s">
        <v>1063</v>
      </c>
      <c r="B391" s="7" t="s">
        <v>1064</v>
      </c>
      <c r="C391" s="7" t="s">
        <v>1060</v>
      </c>
      <c r="D391" s="18">
        <v>2</v>
      </c>
      <c r="E391" s="18">
        <v>1</v>
      </c>
      <c r="F391" s="18">
        <v>1</v>
      </c>
      <c r="G391" s="18">
        <v>3</v>
      </c>
      <c r="H391" s="18">
        <v>1</v>
      </c>
      <c r="I391" s="18">
        <v>2</v>
      </c>
      <c r="J391" s="18">
        <v>1</v>
      </c>
      <c r="K391" s="18">
        <v>5</v>
      </c>
      <c r="L391" s="18">
        <v>0</v>
      </c>
      <c r="M391" s="18">
        <v>2</v>
      </c>
      <c r="N391" s="18">
        <v>0</v>
      </c>
      <c r="O391" s="18">
        <v>2</v>
      </c>
      <c r="P391" s="18">
        <v>1</v>
      </c>
      <c r="Q391" s="18">
        <v>2</v>
      </c>
      <c r="R391" s="18">
        <v>2</v>
      </c>
      <c r="S391" s="18">
        <v>8</v>
      </c>
      <c r="T391" s="18">
        <v>20</v>
      </c>
      <c r="U391" s="18">
        <v>47</v>
      </c>
      <c r="V391" s="19">
        <f t="shared" si="6"/>
        <v>100</v>
      </c>
    </row>
    <row r="392" spans="1:22" ht="15" customHeight="1">
      <c r="A392" s="6" t="s">
        <v>1065</v>
      </c>
      <c r="B392" s="7" t="s">
        <v>1066</v>
      </c>
      <c r="C392" s="7" t="s">
        <v>1060</v>
      </c>
      <c r="D392" s="18">
        <v>2</v>
      </c>
      <c r="E392" s="18">
        <v>1</v>
      </c>
      <c r="F392" s="18">
        <v>1</v>
      </c>
      <c r="G392" s="18">
        <v>3</v>
      </c>
      <c r="H392" s="18">
        <v>1</v>
      </c>
      <c r="I392" s="18">
        <v>2</v>
      </c>
      <c r="J392" s="18">
        <v>1</v>
      </c>
      <c r="K392" s="18">
        <v>10</v>
      </c>
      <c r="L392" s="18">
        <v>0</v>
      </c>
      <c r="M392" s="18">
        <v>2</v>
      </c>
      <c r="N392" s="18">
        <v>0</v>
      </c>
      <c r="O392" s="18">
        <v>2</v>
      </c>
      <c r="P392" s="18">
        <v>1</v>
      </c>
      <c r="Q392" s="18">
        <v>2</v>
      </c>
      <c r="R392" s="18">
        <v>2</v>
      </c>
      <c r="S392" s="18">
        <v>5</v>
      </c>
      <c r="T392" s="18">
        <v>20</v>
      </c>
      <c r="U392" s="18">
        <v>45</v>
      </c>
      <c r="V392" s="19">
        <f t="shared" si="6"/>
        <v>100</v>
      </c>
    </row>
    <row r="393" spans="1:22" ht="15" customHeight="1">
      <c r="A393" s="6" t="s">
        <v>1067</v>
      </c>
      <c r="B393" s="7" t="s">
        <v>1068</v>
      </c>
      <c r="C393" s="7" t="s">
        <v>1060</v>
      </c>
      <c r="D393" s="18">
        <v>2</v>
      </c>
      <c r="E393" s="18">
        <v>1</v>
      </c>
      <c r="F393" s="18">
        <v>1</v>
      </c>
      <c r="G393" s="18">
        <v>2</v>
      </c>
      <c r="H393" s="18">
        <v>1</v>
      </c>
      <c r="I393" s="18">
        <v>2</v>
      </c>
      <c r="J393" s="18">
        <v>1</v>
      </c>
      <c r="K393" s="18">
        <v>5</v>
      </c>
      <c r="L393" s="18">
        <v>0</v>
      </c>
      <c r="M393" s="18">
        <v>2</v>
      </c>
      <c r="N393" s="18">
        <v>0</v>
      </c>
      <c r="O393" s="18">
        <v>2</v>
      </c>
      <c r="P393" s="18">
        <v>1</v>
      </c>
      <c r="Q393" s="18">
        <v>2</v>
      </c>
      <c r="R393" s="18">
        <v>2</v>
      </c>
      <c r="S393" s="18">
        <v>0</v>
      </c>
      <c r="T393" s="18">
        <v>25</v>
      </c>
      <c r="U393" s="18">
        <v>51</v>
      </c>
      <c r="V393" s="19">
        <f t="shared" si="6"/>
        <v>100</v>
      </c>
    </row>
    <row r="394" spans="1:22" ht="15" customHeight="1">
      <c r="A394" s="6" t="s">
        <v>1069</v>
      </c>
      <c r="B394" s="7" t="s">
        <v>1070</v>
      </c>
      <c r="C394" s="7" t="s">
        <v>1060</v>
      </c>
      <c r="D394" s="18">
        <v>2</v>
      </c>
      <c r="E394" s="18">
        <v>1</v>
      </c>
      <c r="F394" s="18">
        <v>1</v>
      </c>
      <c r="G394" s="18">
        <v>3</v>
      </c>
      <c r="H394" s="18">
        <v>1</v>
      </c>
      <c r="I394" s="18">
        <v>2</v>
      </c>
      <c r="J394" s="18">
        <v>1</v>
      </c>
      <c r="K394" s="18">
        <v>20</v>
      </c>
      <c r="L394" s="18">
        <v>0</v>
      </c>
      <c r="M394" s="18">
        <v>2</v>
      </c>
      <c r="N394" s="18">
        <v>0</v>
      </c>
      <c r="O394" s="18">
        <v>2</v>
      </c>
      <c r="P394" s="18">
        <v>2</v>
      </c>
      <c r="Q394" s="18">
        <v>2</v>
      </c>
      <c r="R394" s="18">
        <v>2</v>
      </c>
      <c r="S394" s="18">
        <v>0</v>
      </c>
      <c r="T394" s="18">
        <v>15</v>
      </c>
      <c r="U394" s="18">
        <v>44</v>
      </c>
      <c r="V394" s="19">
        <f t="shared" si="6"/>
        <v>100</v>
      </c>
    </row>
    <row r="395" spans="1:22" ht="15" customHeight="1">
      <c r="A395" s="6" t="s">
        <v>1071</v>
      </c>
      <c r="B395" s="7" t="s">
        <v>1072</v>
      </c>
      <c r="C395" s="7" t="s">
        <v>1060</v>
      </c>
      <c r="D395" s="18">
        <v>2</v>
      </c>
      <c r="E395" s="18">
        <v>1</v>
      </c>
      <c r="F395" s="18">
        <v>1</v>
      </c>
      <c r="G395" s="18">
        <v>3</v>
      </c>
      <c r="H395" s="18">
        <v>2</v>
      </c>
      <c r="I395" s="18">
        <v>2</v>
      </c>
      <c r="J395" s="18">
        <v>1</v>
      </c>
      <c r="K395" s="18">
        <v>18</v>
      </c>
      <c r="L395" s="18">
        <v>0</v>
      </c>
      <c r="M395" s="18">
        <v>2</v>
      </c>
      <c r="N395" s="18">
        <v>0</v>
      </c>
      <c r="O395" s="18">
        <v>2</v>
      </c>
      <c r="P395" s="18">
        <v>2</v>
      </c>
      <c r="Q395" s="18">
        <v>2</v>
      </c>
      <c r="R395" s="18">
        <v>2</v>
      </c>
      <c r="S395" s="18">
        <v>0</v>
      </c>
      <c r="T395" s="18">
        <v>15</v>
      </c>
      <c r="U395" s="18">
        <v>45</v>
      </c>
      <c r="V395" s="19">
        <f t="shared" si="6"/>
        <v>100</v>
      </c>
    </row>
    <row r="396" spans="1:22" ht="15" customHeight="1">
      <c r="A396" s="6" t="s">
        <v>1073</v>
      </c>
      <c r="B396" s="7" t="s">
        <v>1074</v>
      </c>
      <c r="C396" s="7" t="s">
        <v>1060</v>
      </c>
      <c r="D396" s="18">
        <v>2</v>
      </c>
      <c r="E396" s="18">
        <v>1</v>
      </c>
      <c r="F396" s="18">
        <v>1</v>
      </c>
      <c r="G396" s="18">
        <v>3</v>
      </c>
      <c r="H396" s="18">
        <v>1</v>
      </c>
      <c r="I396" s="18">
        <v>2</v>
      </c>
      <c r="J396" s="18">
        <v>1</v>
      </c>
      <c r="K396" s="18">
        <v>15</v>
      </c>
      <c r="L396" s="18">
        <v>0</v>
      </c>
      <c r="M396" s="18">
        <v>2</v>
      </c>
      <c r="N396" s="18">
        <v>1</v>
      </c>
      <c r="O396" s="18">
        <v>2</v>
      </c>
      <c r="P396" s="18">
        <v>1</v>
      </c>
      <c r="Q396" s="18">
        <v>2</v>
      </c>
      <c r="R396" s="18">
        <v>2</v>
      </c>
      <c r="S396" s="18">
        <v>5</v>
      </c>
      <c r="T396" s="18">
        <v>18</v>
      </c>
      <c r="U396" s="18">
        <v>41</v>
      </c>
      <c r="V396" s="19">
        <f t="shared" si="6"/>
        <v>100</v>
      </c>
    </row>
    <row r="397" spans="1:22" ht="15" customHeight="1">
      <c r="A397" s="6" t="s">
        <v>1075</v>
      </c>
      <c r="B397" s="7" t="s">
        <v>1076</v>
      </c>
      <c r="C397" s="7" t="s">
        <v>1060</v>
      </c>
      <c r="D397" s="18">
        <v>3</v>
      </c>
      <c r="E397" s="18">
        <v>2</v>
      </c>
      <c r="F397" s="18">
        <v>1</v>
      </c>
      <c r="G397" s="18">
        <v>3</v>
      </c>
      <c r="H397" s="18">
        <v>1</v>
      </c>
      <c r="I397" s="18">
        <v>3</v>
      </c>
      <c r="J397" s="18">
        <v>1</v>
      </c>
      <c r="K397" s="18">
        <v>10</v>
      </c>
      <c r="L397" s="18">
        <v>0</v>
      </c>
      <c r="M397" s="18">
        <v>2</v>
      </c>
      <c r="N397" s="18">
        <v>0</v>
      </c>
      <c r="O397" s="18">
        <v>2</v>
      </c>
      <c r="P397" s="18">
        <v>1</v>
      </c>
      <c r="Q397" s="18">
        <v>3</v>
      </c>
      <c r="R397" s="18">
        <v>2</v>
      </c>
      <c r="S397" s="18">
        <v>5</v>
      </c>
      <c r="T397" s="18">
        <v>18</v>
      </c>
      <c r="U397" s="18">
        <v>43</v>
      </c>
      <c r="V397" s="19">
        <f t="shared" si="6"/>
        <v>100</v>
      </c>
    </row>
    <row r="398" spans="1:22" ht="15" customHeight="1">
      <c r="A398" s="6" t="s">
        <v>1077</v>
      </c>
      <c r="B398" s="7" t="s">
        <v>1078</v>
      </c>
      <c r="C398" s="7" t="s">
        <v>1060</v>
      </c>
      <c r="D398" s="18">
        <v>2</v>
      </c>
      <c r="E398" s="18">
        <v>1</v>
      </c>
      <c r="F398" s="18">
        <v>1</v>
      </c>
      <c r="G398" s="18">
        <v>2</v>
      </c>
      <c r="H398" s="18">
        <v>1</v>
      </c>
      <c r="I398" s="18">
        <v>1</v>
      </c>
      <c r="J398" s="18">
        <v>1</v>
      </c>
      <c r="K398" s="18">
        <v>5</v>
      </c>
      <c r="L398" s="18">
        <v>0</v>
      </c>
      <c r="M398" s="18">
        <v>2</v>
      </c>
      <c r="N398" s="18">
        <v>0</v>
      </c>
      <c r="O398" s="18">
        <v>2</v>
      </c>
      <c r="P398" s="18">
        <v>1</v>
      </c>
      <c r="Q398" s="18">
        <v>2</v>
      </c>
      <c r="R398" s="18">
        <v>1</v>
      </c>
      <c r="S398" s="18">
        <v>0</v>
      </c>
      <c r="T398" s="18">
        <v>15</v>
      </c>
      <c r="U398" s="18">
        <v>63</v>
      </c>
      <c r="V398" s="19">
        <f t="shared" si="6"/>
        <v>100</v>
      </c>
    </row>
    <row r="399" spans="1:22" ht="15" customHeight="1">
      <c r="A399" s="6" t="s">
        <v>1079</v>
      </c>
      <c r="B399" s="7" t="s">
        <v>1080</v>
      </c>
      <c r="C399" s="7" t="s">
        <v>1060</v>
      </c>
      <c r="D399" s="18">
        <v>2</v>
      </c>
      <c r="E399" s="18">
        <v>1</v>
      </c>
      <c r="F399" s="18">
        <v>1</v>
      </c>
      <c r="G399" s="18">
        <v>2</v>
      </c>
      <c r="H399" s="18">
        <v>1</v>
      </c>
      <c r="I399" s="18">
        <v>2</v>
      </c>
      <c r="J399" s="18">
        <v>1</v>
      </c>
      <c r="K399" s="18">
        <v>3</v>
      </c>
      <c r="L399" s="18">
        <v>0</v>
      </c>
      <c r="M399" s="18">
        <v>2</v>
      </c>
      <c r="N399" s="18">
        <v>0</v>
      </c>
      <c r="O399" s="18">
        <v>2</v>
      </c>
      <c r="P399" s="18">
        <v>1</v>
      </c>
      <c r="Q399" s="18">
        <v>2</v>
      </c>
      <c r="R399" s="18">
        <v>2</v>
      </c>
      <c r="S399" s="18">
        <v>0</v>
      </c>
      <c r="T399" s="18">
        <v>18</v>
      </c>
      <c r="U399" s="18">
        <v>60</v>
      </c>
      <c r="V399" s="19">
        <f t="shared" si="6"/>
        <v>100</v>
      </c>
    </row>
    <row r="400" spans="1:22" ht="15" customHeight="1">
      <c r="A400" s="6" t="s">
        <v>1081</v>
      </c>
      <c r="B400" s="7" t="s">
        <v>1082</v>
      </c>
      <c r="C400" s="7" t="s">
        <v>1060</v>
      </c>
      <c r="D400" s="18">
        <v>3</v>
      </c>
      <c r="E400" s="18">
        <v>2</v>
      </c>
      <c r="F400" s="18">
        <v>1</v>
      </c>
      <c r="G400" s="18">
        <v>5</v>
      </c>
      <c r="H400" s="18">
        <v>1</v>
      </c>
      <c r="I400" s="18">
        <v>3</v>
      </c>
      <c r="J400" s="18">
        <v>1</v>
      </c>
      <c r="K400" s="18">
        <v>5</v>
      </c>
      <c r="L400" s="18">
        <v>0</v>
      </c>
      <c r="M400" s="18">
        <v>1</v>
      </c>
      <c r="N400" s="18">
        <v>0</v>
      </c>
      <c r="O400" s="18">
        <v>2</v>
      </c>
      <c r="P400" s="18">
        <v>1</v>
      </c>
      <c r="Q400" s="18">
        <v>5</v>
      </c>
      <c r="R400" s="18">
        <v>5</v>
      </c>
      <c r="S400" s="18">
        <v>5</v>
      </c>
      <c r="T400" s="18">
        <v>10</v>
      </c>
      <c r="U400" s="18">
        <v>50</v>
      </c>
      <c r="V400" s="19">
        <f t="shared" si="6"/>
        <v>100</v>
      </c>
    </row>
    <row r="401" spans="1:22" ht="15" customHeight="1">
      <c r="A401" s="6" t="s">
        <v>1083</v>
      </c>
      <c r="B401" s="7" t="s">
        <v>1084</v>
      </c>
      <c r="C401" s="7" t="s">
        <v>1060</v>
      </c>
      <c r="D401" s="18">
        <v>2</v>
      </c>
      <c r="E401" s="18">
        <v>1</v>
      </c>
      <c r="F401" s="18">
        <v>1</v>
      </c>
      <c r="G401" s="18">
        <v>2</v>
      </c>
      <c r="H401" s="18">
        <v>1</v>
      </c>
      <c r="I401" s="18">
        <v>2</v>
      </c>
      <c r="J401" s="18">
        <v>1</v>
      </c>
      <c r="K401" s="18">
        <v>3</v>
      </c>
      <c r="L401" s="18">
        <v>0</v>
      </c>
      <c r="M401" s="18">
        <v>3</v>
      </c>
      <c r="N401" s="18">
        <v>0</v>
      </c>
      <c r="O401" s="18">
        <v>2</v>
      </c>
      <c r="P401" s="18">
        <v>1</v>
      </c>
      <c r="Q401" s="18">
        <v>2</v>
      </c>
      <c r="R401" s="18">
        <v>2</v>
      </c>
      <c r="S401" s="18">
        <v>0</v>
      </c>
      <c r="T401" s="18">
        <v>30</v>
      </c>
      <c r="U401" s="18">
        <v>47</v>
      </c>
      <c r="V401" s="19">
        <f t="shared" si="6"/>
        <v>100</v>
      </c>
    </row>
    <row r="402" spans="1:22" ht="15" customHeight="1">
      <c r="A402" s="6" t="s">
        <v>1085</v>
      </c>
      <c r="B402" s="7" t="s">
        <v>1086</v>
      </c>
      <c r="C402" s="7" t="s">
        <v>1060</v>
      </c>
      <c r="D402" s="18">
        <v>3</v>
      </c>
      <c r="E402" s="18">
        <v>2</v>
      </c>
      <c r="F402" s="18">
        <v>1</v>
      </c>
      <c r="G402" s="18">
        <v>3</v>
      </c>
      <c r="H402" s="18">
        <v>1</v>
      </c>
      <c r="I402" s="18">
        <v>3</v>
      </c>
      <c r="J402" s="18">
        <v>1</v>
      </c>
      <c r="K402" s="18">
        <v>8</v>
      </c>
      <c r="L402" s="18">
        <v>0</v>
      </c>
      <c r="M402" s="18">
        <v>3</v>
      </c>
      <c r="N402" s="18">
        <v>0</v>
      </c>
      <c r="O402" s="18">
        <v>5</v>
      </c>
      <c r="P402" s="18">
        <v>2</v>
      </c>
      <c r="Q402" s="18">
        <v>2</v>
      </c>
      <c r="R402" s="18">
        <v>3</v>
      </c>
      <c r="S402" s="18">
        <v>0</v>
      </c>
      <c r="T402" s="18">
        <v>15</v>
      </c>
      <c r="U402" s="18">
        <v>48</v>
      </c>
      <c r="V402" s="19">
        <f t="shared" si="6"/>
        <v>100</v>
      </c>
    </row>
    <row r="403" spans="1:22" ht="15" customHeight="1">
      <c r="A403" s="6" t="s">
        <v>1087</v>
      </c>
      <c r="B403" s="7" t="s">
        <v>1088</v>
      </c>
      <c r="C403" s="7" t="s">
        <v>1060</v>
      </c>
      <c r="D403" s="18">
        <v>2</v>
      </c>
      <c r="E403" s="18">
        <v>1</v>
      </c>
      <c r="F403" s="18">
        <v>1</v>
      </c>
      <c r="G403" s="18">
        <v>3</v>
      </c>
      <c r="H403" s="18">
        <v>1</v>
      </c>
      <c r="I403" s="18">
        <v>2</v>
      </c>
      <c r="J403" s="18">
        <v>1</v>
      </c>
      <c r="K403" s="18">
        <v>8</v>
      </c>
      <c r="L403" s="18">
        <v>0</v>
      </c>
      <c r="M403" s="18">
        <v>1</v>
      </c>
      <c r="N403" s="18">
        <v>0</v>
      </c>
      <c r="O403" s="18">
        <v>2</v>
      </c>
      <c r="P403" s="18">
        <v>1</v>
      </c>
      <c r="Q403" s="18">
        <v>3</v>
      </c>
      <c r="R403" s="18">
        <v>2</v>
      </c>
      <c r="S403" s="18">
        <v>15</v>
      </c>
      <c r="T403" s="18">
        <v>12</v>
      </c>
      <c r="U403" s="18">
        <v>45</v>
      </c>
      <c r="V403" s="19">
        <f t="shared" si="6"/>
        <v>100</v>
      </c>
    </row>
    <row r="404" spans="1:22" ht="15" customHeight="1">
      <c r="A404" s="6" t="s">
        <v>1089</v>
      </c>
      <c r="B404" s="7" t="s">
        <v>1090</v>
      </c>
      <c r="C404" s="7" t="s">
        <v>1060</v>
      </c>
      <c r="D404" s="18">
        <v>3</v>
      </c>
      <c r="E404" s="18">
        <v>2</v>
      </c>
      <c r="F404" s="18">
        <v>1</v>
      </c>
      <c r="G404" s="18">
        <v>3</v>
      </c>
      <c r="H404" s="18">
        <v>1</v>
      </c>
      <c r="I404" s="18">
        <v>3</v>
      </c>
      <c r="J404" s="18">
        <v>1</v>
      </c>
      <c r="K404" s="18">
        <v>5</v>
      </c>
      <c r="L404" s="18">
        <v>0</v>
      </c>
      <c r="M404" s="18">
        <v>2</v>
      </c>
      <c r="N404" s="18">
        <v>0</v>
      </c>
      <c r="O404" s="18">
        <v>3</v>
      </c>
      <c r="P404" s="18">
        <v>2</v>
      </c>
      <c r="Q404" s="18">
        <v>2</v>
      </c>
      <c r="R404" s="18">
        <v>3</v>
      </c>
      <c r="S404" s="18">
        <v>0</v>
      </c>
      <c r="T404" s="18">
        <v>15</v>
      </c>
      <c r="U404" s="18">
        <v>54</v>
      </c>
      <c r="V404" s="19">
        <f t="shared" si="6"/>
        <v>100</v>
      </c>
    </row>
    <row r="405" spans="1:22" ht="15" customHeight="1">
      <c r="A405" s="6" t="s">
        <v>1091</v>
      </c>
      <c r="B405" s="7" t="s">
        <v>1092</v>
      </c>
      <c r="C405" s="7" t="s">
        <v>1060</v>
      </c>
      <c r="D405" s="18">
        <v>3</v>
      </c>
      <c r="E405" s="18">
        <v>3</v>
      </c>
      <c r="F405" s="18">
        <v>2</v>
      </c>
      <c r="G405" s="18">
        <v>5</v>
      </c>
      <c r="H405" s="18">
        <v>3</v>
      </c>
      <c r="I405" s="18">
        <v>5</v>
      </c>
      <c r="J405" s="18">
        <v>2</v>
      </c>
      <c r="K405" s="18">
        <v>5</v>
      </c>
      <c r="L405" s="18">
        <v>0</v>
      </c>
      <c r="M405" s="18">
        <v>2</v>
      </c>
      <c r="N405" s="18">
        <v>0</v>
      </c>
      <c r="O405" s="18">
        <v>3</v>
      </c>
      <c r="P405" s="18">
        <v>2</v>
      </c>
      <c r="Q405" s="18">
        <v>3</v>
      </c>
      <c r="R405" s="18">
        <v>15</v>
      </c>
      <c r="S405" s="18">
        <v>0</v>
      </c>
      <c r="T405" s="18">
        <v>18</v>
      </c>
      <c r="U405" s="18">
        <v>29</v>
      </c>
      <c r="V405" s="19">
        <f t="shared" si="6"/>
        <v>100</v>
      </c>
    </row>
    <row r="406" spans="1:22" ht="15" customHeight="1">
      <c r="A406" s="6" t="s">
        <v>1093</v>
      </c>
      <c r="B406" s="7" t="s">
        <v>1094</v>
      </c>
      <c r="C406" s="7" t="s">
        <v>1060</v>
      </c>
      <c r="D406" s="18">
        <v>3</v>
      </c>
      <c r="E406" s="18">
        <v>1</v>
      </c>
      <c r="F406" s="18">
        <v>1</v>
      </c>
      <c r="G406" s="18">
        <v>2</v>
      </c>
      <c r="H406" s="18">
        <v>1</v>
      </c>
      <c r="I406" s="18">
        <v>5</v>
      </c>
      <c r="J406" s="18">
        <v>1</v>
      </c>
      <c r="K406" s="18">
        <v>2</v>
      </c>
      <c r="L406" s="18">
        <v>0</v>
      </c>
      <c r="M406" s="18">
        <v>2</v>
      </c>
      <c r="N406" s="18">
        <v>0</v>
      </c>
      <c r="O406" s="18">
        <v>2</v>
      </c>
      <c r="P406" s="18">
        <v>1</v>
      </c>
      <c r="Q406" s="18">
        <v>2</v>
      </c>
      <c r="R406" s="18">
        <v>2</v>
      </c>
      <c r="S406" s="18">
        <v>0</v>
      </c>
      <c r="T406" s="18">
        <v>25</v>
      </c>
      <c r="U406" s="18">
        <v>50</v>
      </c>
      <c r="V406" s="19">
        <f t="shared" si="6"/>
        <v>100</v>
      </c>
    </row>
    <row r="407" spans="1:22" ht="15" customHeight="1">
      <c r="A407" s="6" t="s">
        <v>1095</v>
      </c>
      <c r="B407" s="7" t="s">
        <v>1096</v>
      </c>
      <c r="C407" s="7" t="s">
        <v>1060</v>
      </c>
      <c r="D407" s="18">
        <v>2</v>
      </c>
      <c r="E407" s="18">
        <v>1</v>
      </c>
      <c r="F407" s="18">
        <v>1</v>
      </c>
      <c r="G407" s="18">
        <v>3</v>
      </c>
      <c r="H407" s="18">
        <v>1</v>
      </c>
      <c r="I407" s="18">
        <v>3</v>
      </c>
      <c r="J407" s="18">
        <v>1</v>
      </c>
      <c r="K407" s="18">
        <v>5</v>
      </c>
      <c r="L407" s="18">
        <v>0</v>
      </c>
      <c r="M407" s="18">
        <v>2</v>
      </c>
      <c r="N407" s="18">
        <v>0</v>
      </c>
      <c r="O407" s="18">
        <v>2</v>
      </c>
      <c r="P407" s="18">
        <v>1</v>
      </c>
      <c r="Q407" s="18">
        <v>2</v>
      </c>
      <c r="R407" s="18">
        <v>1</v>
      </c>
      <c r="S407" s="18">
        <v>0</v>
      </c>
      <c r="T407" s="18">
        <v>15</v>
      </c>
      <c r="U407" s="18">
        <v>60</v>
      </c>
      <c r="V407" s="19">
        <f t="shared" si="6"/>
        <v>100</v>
      </c>
    </row>
    <row r="408" spans="1:22" ht="15" customHeight="1">
      <c r="A408" s="6" t="s">
        <v>1097</v>
      </c>
      <c r="B408" s="7" t="s">
        <v>1098</v>
      </c>
      <c r="C408" s="7" t="s">
        <v>1060</v>
      </c>
      <c r="D408" s="18">
        <v>3</v>
      </c>
      <c r="E408" s="18">
        <v>1</v>
      </c>
      <c r="F408" s="18">
        <v>1</v>
      </c>
      <c r="G408" s="18">
        <v>2</v>
      </c>
      <c r="H408" s="18">
        <v>1</v>
      </c>
      <c r="I408" s="18">
        <v>5</v>
      </c>
      <c r="J408" s="18">
        <v>1</v>
      </c>
      <c r="K408" s="18">
        <v>2</v>
      </c>
      <c r="L408" s="18">
        <v>0</v>
      </c>
      <c r="M408" s="18">
        <v>2</v>
      </c>
      <c r="N408" s="18">
        <v>0</v>
      </c>
      <c r="O408" s="18">
        <v>2</v>
      </c>
      <c r="P408" s="18">
        <v>1</v>
      </c>
      <c r="Q408" s="18">
        <v>2</v>
      </c>
      <c r="R408" s="18">
        <v>2</v>
      </c>
      <c r="S408" s="18">
        <v>0</v>
      </c>
      <c r="T408" s="18">
        <v>25</v>
      </c>
      <c r="U408" s="18">
        <v>50</v>
      </c>
      <c r="V408" s="19">
        <f t="shared" si="6"/>
        <v>100</v>
      </c>
    </row>
    <row r="409" spans="1:22" ht="15" customHeight="1">
      <c r="A409" s="6" t="s">
        <v>1099</v>
      </c>
      <c r="B409" s="7" t="s">
        <v>1100</v>
      </c>
      <c r="C409" s="7" t="s">
        <v>1060</v>
      </c>
      <c r="D409" s="18">
        <v>3</v>
      </c>
      <c r="E409" s="18">
        <v>3</v>
      </c>
      <c r="F409" s="18">
        <v>2</v>
      </c>
      <c r="G409" s="18">
        <v>5</v>
      </c>
      <c r="H409" s="18">
        <v>3</v>
      </c>
      <c r="I409" s="18">
        <v>3</v>
      </c>
      <c r="J409" s="18">
        <v>2</v>
      </c>
      <c r="K409" s="18">
        <v>15</v>
      </c>
      <c r="L409" s="18">
        <v>0</v>
      </c>
      <c r="M409" s="18">
        <v>2</v>
      </c>
      <c r="N409" s="18">
        <v>0</v>
      </c>
      <c r="O409" s="18">
        <v>5</v>
      </c>
      <c r="P409" s="18">
        <v>3</v>
      </c>
      <c r="Q409" s="18">
        <v>3</v>
      </c>
      <c r="R409" s="18">
        <v>15</v>
      </c>
      <c r="S409" s="18">
        <v>0</v>
      </c>
      <c r="T409" s="18">
        <v>15</v>
      </c>
      <c r="U409" s="18">
        <v>21</v>
      </c>
      <c r="V409" s="19">
        <f t="shared" si="6"/>
        <v>100</v>
      </c>
    </row>
    <row r="410" spans="1:22" ht="15" customHeight="1">
      <c r="A410" s="6" t="s">
        <v>1101</v>
      </c>
      <c r="B410" s="7" t="s">
        <v>1102</v>
      </c>
      <c r="C410" s="7" t="s">
        <v>1060</v>
      </c>
      <c r="D410" s="18">
        <v>3</v>
      </c>
      <c r="E410" s="18">
        <v>1</v>
      </c>
      <c r="F410" s="18">
        <v>1</v>
      </c>
      <c r="G410" s="18">
        <v>3</v>
      </c>
      <c r="H410" s="18">
        <v>2</v>
      </c>
      <c r="I410" s="18">
        <v>2</v>
      </c>
      <c r="J410" s="18">
        <v>1</v>
      </c>
      <c r="K410" s="18">
        <v>18</v>
      </c>
      <c r="L410" s="18">
        <v>0</v>
      </c>
      <c r="M410" s="18">
        <v>2</v>
      </c>
      <c r="N410" s="18">
        <v>0</v>
      </c>
      <c r="O410" s="18">
        <v>2</v>
      </c>
      <c r="P410" s="18">
        <v>2</v>
      </c>
      <c r="Q410" s="18">
        <v>2</v>
      </c>
      <c r="R410" s="18">
        <v>2</v>
      </c>
      <c r="S410" s="18">
        <v>0</v>
      </c>
      <c r="T410" s="18">
        <v>20</v>
      </c>
      <c r="U410" s="18">
        <v>39</v>
      </c>
      <c r="V410" s="19">
        <f t="shared" si="6"/>
        <v>100</v>
      </c>
    </row>
    <row r="411" spans="1:22" ht="15" customHeight="1">
      <c r="A411" s="6" t="s">
        <v>1103</v>
      </c>
      <c r="B411" s="7" t="s">
        <v>1104</v>
      </c>
      <c r="C411" s="7" t="s">
        <v>1060</v>
      </c>
      <c r="D411" s="18">
        <v>2</v>
      </c>
      <c r="E411" s="18">
        <v>1</v>
      </c>
      <c r="F411" s="18">
        <v>1</v>
      </c>
      <c r="G411" s="18">
        <v>2</v>
      </c>
      <c r="H411" s="18">
        <v>1</v>
      </c>
      <c r="I411" s="18">
        <v>1</v>
      </c>
      <c r="J411" s="18">
        <v>1</v>
      </c>
      <c r="K411" s="18">
        <v>2</v>
      </c>
      <c r="L411" s="18">
        <v>0</v>
      </c>
      <c r="M411" s="18">
        <v>1</v>
      </c>
      <c r="N411" s="18">
        <v>0</v>
      </c>
      <c r="O411" s="18">
        <v>1</v>
      </c>
      <c r="P411" s="18">
        <v>1</v>
      </c>
      <c r="Q411" s="18">
        <v>2</v>
      </c>
      <c r="R411" s="18">
        <v>1</v>
      </c>
      <c r="S411" s="18">
        <v>0</v>
      </c>
      <c r="T411" s="18">
        <v>10</v>
      </c>
      <c r="U411" s="18">
        <v>73</v>
      </c>
      <c r="V411" s="19">
        <f t="shared" si="6"/>
        <v>100</v>
      </c>
    </row>
    <row r="412" spans="1:22" ht="15" customHeight="1">
      <c r="A412" s="6" t="s">
        <v>1105</v>
      </c>
      <c r="B412" s="7" t="s">
        <v>1106</v>
      </c>
      <c r="C412" s="7" t="s">
        <v>1060</v>
      </c>
      <c r="D412" s="18">
        <v>2</v>
      </c>
      <c r="E412" s="18">
        <v>1</v>
      </c>
      <c r="F412" s="18">
        <v>1</v>
      </c>
      <c r="G412" s="18">
        <v>2</v>
      </c>
      <c r="H412" s="18">
        <v>1</v>
      </c>
      <c r="I412" s="18">
        <v>2</v>
      </c>
      <c r="J412" s="18">
        <v>1</v>
      </c>
      <c r="K412" s="18">
        <v>2</v>
      </c>
      <c r="L412" s="18">
        <v>0</v>
      </c>
      <c r="M412" s="18">
        <v>1</v>
      </c>
      <c r="N412" s="18">
        <v>0</v>
      </c>
      <c r="O412" s="18">
        <v>1</v>
      </c>
      <c r="P412" s="18">
        <v>1</v>
      </c>
      <c r="Q412" s="18">
        <v>2</v>
      </c>
      <c r="R412" s="18">
        <v>1</v>
      </c>
      <c r="S412" s="18">
        <v>0</v>
      </c>
      <c r="T412" s="18">
        <v>12</v>
      </c>
      <c r="U412" s="18">
        <v>70</v>
      </c>
      <c r="V412" s="19">
        <f t="shared" si="6"/>
        <v>100</v>
      </c>
    </row>
    <row r="413" spans="1:22" ht="15" customHeight="1">
      <c r="A413" s="6" t="s">
        <v>1107</v>
      </c>
      <c r="B413" s="7" t="s">
        <v>1108</v>
      </c>
      <c r="C413" s="7" t="s">
        <v>1060</v>
      </c>
      <c r="D413" s="18">
        <v>2</v>
      </c>
      <c r="E413" s="18">
        <v>1</v>
      </c>
      <c r="F413" s="18">
        <v>1</v>
      </c>
      <c r="G413" s="18">
        <v>2</v>
      </c>
      <c r="H413" s="18">
        <v>1</v>
      </c>
      <c r="I413" s="18">
        <v>2</v>
      </c>
      <c r="J413" s="18">
        <v>1</v>
      </c>
      <c r="K413" s="18">
        <v>3</v>
      </c>
      <c r="L413" s="18">
        <v>0</v>
      </c>
      <c r="M413" s="18">
        <v>2</v>
      </c>
      <c r="N413" s="18">
        <v>0</v>
      </c>
      <c r="O413" s="18">
        <v>2</v>
      </c>
      <c r="P413" s="18">
        <v>1</v>
      </c>
      <c r="Q413" s="18">
        <v>2</v>
      </c>
      <c r="R413" s="18">
        <v>2</v>
      </c>
      <c r="S413" s="18">
        <v>0</v>
      </c>
      <c r="T413" s="18">
        <v>15</v>
      </c>
      <c r="U413" s="18">
        <v>63</v>
      </c>
      <c r="V413" s="19">
        <f t="shared" si="6"/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</sheetPr>
  <dimension ref="A1:J414"/>
  <sheetViews>
    <sheetView zoomScaleNormal="100" workbookViewId="0"/>
  </sheetViews>
  <sheetFormatPr defaultColWidth="8.7109375" defaultRowHeight="14.25"/>
  <cols>
    <col min="1" max="1" width="10" customWidth="1"/>
    <col min="2" max="2" width="52" customWidth="1"/>
    <col min="3" max="3" width="22" customWidth="1"/>
    <col min="4" max="4" width="16" customWidth="1"/>
    <col min="5" max="5" width="20" customWidth="1"/>
    <col min="6" max="6" width="22" customWidth="1"/>
    <col min="7" max="7" width="24" customWidth="1"/>
    <col min="8" max="8" width="22" customWidth="1"/>
    <col min="9" max="9" width="24" customWidth="1"/>
    <col min="10" max="10" width="22" customWidth="1"/>
  </cols>
  <sheetData>
    <row r="1" spans="1:10" ht="26.85" customHeight="1">
      <c r="A1" s="5" t="s">
        <v>240</v>
      </c>
      <c r="B1" s="5" t="s">
        <v>241</v>
      </c>
      <c r="C1" s="5" t="s">
        <v>242</v>
      </c>
      <c r="D1" s="5" t="s">
        <v>1109</v>
      </c>
      <c r="E1" s="5" t="s">
        <v>1110</v>
      </c>
      <c r="F1" s="5" t="s">
        <v>1111</v>
      </c>
      <c r="G1" s="5" t="s">
        <v>1112</v>
      </c>
      <c r="H1" s="5" t="s">
        <v>1113</v>
      </c>
      <c r="I1" s="5" t="s">
        <v>1114</v>
      </c>
      <c r="J1" s="5" t="s">
        <v>1115</v>
      </c>
    </row>
    <row r="2" spans="1:10" ht="15" customHeight="1">
      <c r="A2" s="6" t="s">
        <v>262</v>
      </c>
      <c r="B2" s="7" t="s">
        <v>263</v>
      </c>
      <c r="C2" s="7" t="s">
        <v>264</v>
      </c>
      <c r="D2" s="20">
        <v>167737</v>
      </c>
      <c r="E2" s="22">
        <v>0.64859999999999995</v>
      </c>
      <c r="F2" s="22">
        <v>0.32429999999999998</v>
      </c>
      <c r="G2" s="23">
        <v>12</v>
      </c>
      <c r="H2" s="24">
        <v>564</v>
      </c>
      <c r="I2" s="25">
        <v>2012.7</v>
      </c>
      <c r="J2" s="24">
        <v>54397</v>
      </c>
    </row>
    <row r="3" spans="1:10" ht="15" customHeight="1">
      <c r="A3" s="6" t="s">
        <v>265</v>
      </c>
      <c r="B3" s="7" t="s">
        <v>266</v>
      </c>
      <c r="C3" s="7" t="s">
        <v>264</v>
      </c>
      <c r="D3" s="20">
        <v>167737</v>
      </c>
      <c r="E3" s="22">
        <v>0.65339999999999998</v>
      </c>
      <c r="F3" s="22">
        <v>0.32669999999999999</v>
      </c>
      <c r="G3" s="23">
        <v>12.1</v>
      </c>
      <c r="H3" s="24">
        <v>568</v>
      </c>
      <c r="I3" s="25">
        <v>2027.6</v>
      </c>
      <c r="J3" s="24">
        <v>54800</v>
      </c>
    </row>
    <row r="4" spans="1:10" ht="15" customHeight="1">
      <c r="A4" s="6" t="s">
        <v>267</v>
      </c>
      <c r="B4" s="7" t="s">
        <v>268</v>
      </c>
      <c r="C4" s="7" t="s">
        <v>264</v>
      </c>
      <c r="D4" s="20">
        <v>167737</v>
      </c>
      <c r="E4" s="22">
        <v>0.58950000000000002</v>
      </c>
      <c r="F4" s="22">
        <v>0.29480000000000001</v>
      </c>
      <c r="G4" s="23">
        <v>10.9</v>
      </c>
      <c r="H4" s="24">
        <v>513</v>
      </c>
      <c r="I4" s="25">
        <v>1829.3</v>
      </c>
      <c r="J4" s="24">
        <v>49440</v>
      </c>
    </row>
    <row r="5" spans="1:10" ht="15" customHeight="1">
      <c r="A5" s="6" t="s">
        <v>269</v>
      </c>
      <c r="B5" s="7" t="s">
        <v>270</v>
      </c>
      <c r="C5" s="7" t="s">
        <v>264</v>
      </c>
      <c r="D5" s="20">
        <v>167737</v>
      </c>
      <c r="E5" s="22">
        <v>0.59919999999999995</v>
      </c>
      <c r="F5" s="22">
        <v>0.29959999999999998</v>
      </c>
      <c r="G5" s="23">
        <v>11.1</v>
      </c>
      <c r="H5" s="24">
        <v>521</v>
      </c>
      <c r="I5" s="25">
        <v>1859.4</v>
      </c>
      <c r="J5" s="24">
        <v>50254</v>
      </c>
    </row>
    <row r="6" spans="1:10" ht="15" customHeight="1">
      <c r="A6" s="6" t="s">
        <v>271</v>
      </c>
      <c r="B6" s="7" t="s">
        <v>272</v>
      </c>
      <c r="C6" s="7" t="s">
        <v>264</v>
      </c>
      <c r="D6" s="20">
        <v>167737</v>
      </c>
      <c r="E6" s="22">
        <v>0.57809999999999995</v>
      </c>
      <c r="F6" s="22">
        <v>0.28910000000000002</v>
      </c>
      <c r="G6" s="23">
        <v>10.7</v>
      </c>
      <c r="H6" s="24">
        <v>503</v>
      </c>
      <c r="I6" s="25">
        <v>1793.9</v>
      </c>
      <c r="J6" s="24">
        <v>48484</v>
      </c>
    </row>
    <row r="7" spans="1:10" ht="15" customHeight="1">
      <c r="A7" s="6" t="s">
        <v>273</v>
      </c>
      <c r="B7" s="7" t="s">
        <v>274</v>
      </c>
      <c r="C7" s="7" t="s">
        <v>264</v>
      </c>
      <c r="D7" s="20">
        <v>167737</v>
      </c>
      <c r="E7" s="22">
        <v>0.67230000000000001</v>
      </c>
      <c r="F7" s="22">
        <v>0.3362</v>
      </c>
      <c r="G7" s="23">
        <v>12.4</v>
      </c>
      <c r="H7" s="24">
        <v>585</v>
      </c>
      <c r="I7" s="25">
        <v>2086.1999999999998</v>
      </c>
      <c r="J7" s="24">
        <v>56385</v>
      </c>
    </row>
    <row r="8" spans="1:10" ht="15" customHeight="1">
      <c r="A8" s="6" t="s">
        <v>275</v>
      </c>
      <c r="B8" s="7" t="s">
        <v>276</v>
      </c>
      <c r="C8" s="7" t="s">
        <v>264</v>
      </c>
      <c r="D8" s="20">
        <v>167737</v>
      </c>
      <c r="E8" s="22">
        <v>0.68869999999999998</v>
      </c>
      <c r="F8" s="22">
        <v>0.34439999999999998</v>
      </c>
      <c r="G8" s="23">
        <v>12.7</v>
      </c>
      <c r="H8" s="24">
        <v>599</v>
      </c>
      <c r="I8" s="25">
        <v>2137.1</v>
      </c>
      <c r="J8" s="24">
        <v>57760</v>
      </c>
    </row>
    <row r="9" spans="1:10" ht="15" customHeight="1">
      <c r="A9" s="6" t="s">
        <v>277</v>
      </c>
      <c r="B9" s="7" t="s">
        <v>278</v>
      </c>
      <c r="C9" s="7" t="s">
        <v>264</v>
      </c>
      <c r="D9" s="20">
        <v>167737</v>
      </c>
      <c r="E9" s="22">
        <v>0.64400000000000002</v>
      </c>
      <c r="F9" s="22">
        <v>0.32200000000000001</v>
      </c>
      <c r="G9" s="23">
        <v>11.9</v>
      </c>
      <c r="H9" s="24">
        <v>560</v>
      </c>
      <c r="I9" s="25">
        <v>1998.4</v>
      </c>
      <c r="J9" s="24">
        <v>54011</v>
      </c>
    </row>
    <row r="10" spans="1:10" ht="15" customHeight="1">
      <c r="A10" s="6" t="s">
        <v>279</v>
      </c>
      <c r="B10" s="7" t="s">
        <v>280</v>
      </c>
      <c r="C10" s="7" t="s">
        <v>264</v>
      </c>
      <c r="D10" s="20">
        <v>167737</v>
      </c>
      <c r="E10" s="22">
        <v>0.65259999999999996</v>
      </c>
      <c r="F10" s="22">
        <v>0.32629999999999998</v>
      </c>
      <c r="G10" s="23">
        <v>12.1</v>
      </c>
      <c r="H10" s="24">
        <v>567</v>
      </c>
      <c r="I10" s="25">
        <v>2025.1</v>
      </c>
      <c r="J10" s="24">
        <v>54733</v>
      </c>
    </row>
    <row r="11" spans="1:10" ht="15" customHeight="1">
      <c r="A11" s="6" t="s">
        <v>281</v>
      </c>
      <c r="B11" s="7" t="s">
        <v>282</v>
      </c>
      <c r="C11" s="7" t="s">
        <v>264</v>
      </c>
      <c r="D11" s="20">
        <v>167737</v>
      </c>
      <c r="E11" s="22">
        <v>0.64929999999999999</v>
      </c>
      <c r="F11" s="22">
        <v>0.3246</v>
      </c>
      <c r="G11" s="23">
        <v>12</v>
      </c>
      <c r="H11" s="24">
        <v>565</v>
      </c>
      <c r="I11" s="25">
        <v>2014.9</v>
      </c>
      <c r="J11" s="24">
        <v>54456</v>
      </c>
    </row>
    <row r="12" spans="1:10" ht="15" customHeight="1">
      <c r="A12" s="6" t="s">
        <v>283</v>
      </c>
      <c r="B12" s="7" t="s">
        <v>284</v>
      </c>
      <c r="C12" s="7" t="s">
        <v>264</v>
      </c>
      <c r="D12" s="20">
        <v>167737</v>
      </c>
      <c r="E12" s="22">
        <v>0.73</v>
      </c>
      <c r="F12" s="22">
        <v>0.36499999999999999</v>
      </c>
      <c r="G12" s="23">
        <v>13.5</v>
      </c>
      <c r="H12" s="24">
        <v>635</v>
      </c>
      <c r="I12" s="25">
        <v>2265.3000000000002</v>
      </c>
      <c r="J12" s="24">
        <v>61224</v>
      </c>
    </row>
    <row r="13" spans="1:10" ht="15" customHeight="1">
      <c r="A13" s="6" t="s">
        <v>285</v>
      </c>
      <c r="B13" s="7" t="s">
        <v>286</v>
      </c>
      <c r="C13" s="7" t="s">
        <v>264</v>
      </c>
      <c r="D13" s="20">
        <v>167737</v>
      </c>
      <c r="E13" s="22">
        <v>0.68369999999999997</v>
      </c>
      <c r="F13" s="22">
        <v>0.34189999999999998</v>
      </c>
      <c r="G13" s="23">
        <v>12.6</v>
      </c>
      <c r="H13" s="24">
        <v>594</v>
      </c>
      <c r="I13" s="25">
        <v>2121.6</v>
      </c>
      <c r="J13" s="24">
        <v>57341</v>
      </c>
    </row>
    <row r="14" spans="1:10" ht="15" customHeight="1">
      <c r="A14" s="6" t="s">
        <v>287</v>
      </c>
      <c r="B14" s="7" t="s">
        <v>288</v>
      </c>
      <c r="C14" s="7" t="s">
        <v>264</v>
      </c>
      <c r="D14" s="20">
        <v>167737</v>
      </c>
      <c r="E14" s="22">
        <v>0.63190000000000002</v>
      </c>
      <c r="F14" s="22">
        <v>0.316</v>
      </c>
      <c r="G14" s="23">
        <v>11.7</v>
      </c>
      <c r="H14" s="24">
        <v>549</v>
      </c>
      <c r="I14" s="25">
        <v>1960.9</v>
      </c>
      <c r="J14" s="24">
        <v>52997</v>
      </c>
    </row>
    <row r="15" spans="1:10" ht="15" customHeight="1">
      <c r="A15" s="6" t="s">
        <v>289</v>
      </c>
      <c r="B15" s="7" t="s">
        <v>290</v>
      </c>
      <c r="C15" s="7" t="s">
        <v>264</v>
      </c>
      <c r="D15" s="20">
        <v>167737</v>
      </c>
      <c r="E15" s="22">
        <v>0.63849999999999996</v>
      </c>
      <c r="F15" s="22">
        <v>0.31929999999999997</v>
      </c>
      <c r="G15" s="23">
        <v>11.8</v>
      </c>
      <c r="H15" s="24">
        <v>555</v>
      </c>
      <c r="I15" s="25">
        <v>1981.4</v>
      </c>
      <c r="J15" s="24">
        <v>53550</v>
      </c>
    </row>
    <row r="16" spans="1:10" ht="15" customHeight="1">
      <c r="A16" s="6" t="s">
        <v>291</v>
      </c>
      <c r="B16" s="7" t="s">
        <v>292</v>
      </c>
      <c r="C16" s="7" t="s">
        <v>264</v>
      </c>
      <c r="D16" s="20">
        <v>167737</v>
      </c>
      <c r="E16" s="22">
        <v>0.58899999999999997</v>
      </c>
      <c r="F16" s="22">
        <v>0.29449999999999998</v>
      </c>
      <c r="G16" s="23">
        <v>10.9</v>
      </c>
      <c r="H16" s="24">
        <v>512</v>
      </c>
      <c r="I16" s="25">
        <v>1827.7</v>
      </c>
      <c r="J16" s="24">
        <v>49399</v>
      </c>
    </row>
    <row r="17" spans="1:10" ht="15" customHeight="1">
      <c r="A17" s="6" t="s">
        <v>293</v>
      </c>
      <c r="B17" s="7" t="s">
        <v>294</v>
      </c>
      <c r="C17" s="7" t="s">
        <v>264</v>
      </c>
      <c r="D17" s="20">
        <v>167737</v>
      </c>
      <c r="E17" s="22">
        <v>0.57440000000000002</v>
      </c>
      <c r="F17" s="22">
        <v>0.28720000000000001</v>
      </c>
      <c r="G17" s="23">
        <v>10.6</v>
      </c>
      <c r="H17" s="24">
        <v>499</v>
      </c>
      <c r="I17" s="25">
        <v>1782.4</v>
      </c>
      <c r="J17" s="24">
        <v>48174</v>
      </c>
    </row>
    <row r="18" spans="1:10" ht="15" customHeight="1">
      <c r="A18" s="6" t="s">
        <v>295</v>
      </c>
      <c r="B18" s="7" t="s">
        <v>296</v>
      </c>
      <c r="C18" s="7" t="s">
        <v>264</v>
      </c>
      <c r="D18" s="20">
        <v>167737</v>
      </c>
      <c r="E18" s="22">
        <v>0.59350000000000003</v>
      </c>
      <c r="F18" s="22">
        <v>0.29680000000000001</v>
      </c>
      <c r="G18" s="23">
        <v>11</v>
      </c>
      <c r="H18" s="24">
        <v>516</v>
      </c>
      <c r="I18" s="25">
        <v>1841.7</v>
      </c>
      <c r="J18" s="24">
        <v>49776</v>
      </c>
    </row>
    <row r="19" spans="1:10" ht="15" customHeight="1">
      <c r="A19" s="6" t="s">
        <v>297</v>
      </c>
      <c r="B19" s="7" t="s">
        <v>298</v>
      </c>
      <c r="C19" s="7" t="s">
        <v>264</v>
      </c>
      <c r="D19" s="20">
        <v>167737</v>
      </c>
      <c r="E19" s="22">
        <v>0.58209999999999995</v>
      </c>
      <c r="F19" s="22">
        <v>0.29110000000000003</v>
      </c>
      <c r="G19" s="23">
        <v>10.8</v>
      </c>
      <c r="H19" s="24">
        <v>506</v>
      </c>
      <c r="I19" s="25">
        <v>1806.3</v>
      </c>
      <c r="J19" s="24">
        <v>48820</v>
      </c>
    </row>
    <row r="20" spans="1:10" ht="15" customHeight="1">
      <c r="A20" s="6" t="s">
        <v>299</v>
      </c>
      <c r="B20" s="7" t="s">
        <v>300</v>
      </c>
      <c r="C20" s="7" t="s">
        <v>264</v>
      </c>
      <c r="D20" s="20">
        <v>167737</v>
      </c>
      <c r="E20" s="22">
        <v>0.5877</v>
      </c>
      <c r="F20" s="22">
        <v>0.29389999999999999</v>
      </c>
      <c r="G20" s="23">
        <v>10.9</v>
      </c>
      <c r="H20" s="24">
        <v>511</v>
      </c>
      <c r="I20" s="25">
        <v>1823.7</v>
      </c>
      <c r="J20" s="24">
        <v>49290</v>
      </c>
    </row>
    <row r="21" spans="1:10" ht="15" customHeight="1">
      <c r="A21" s="6" t="s">
        <v>301</v>
      </c>
      <c r="B21" s="7" t="s">
        <v>302</v>
      </c>
      <c r="C21" s="7" t="s">
        <v>303</v>
      </c>
      <c r="D21" s="20">
        <v>92773</v>
      </c>
      <c r="E21" s="22">
        <v>0.50139999999999996</v>
      </c>
      <c r="F21" s="22">
        <v>0.27579999999999999</v>
      </c>
      <c r="G21" s="23">
        <v>10.199999999999999</v>
      </c>
      <c r="H21" s="24">
        <v>480</v>
      </c>
      <c r="I21" s="25">
        <v>946.6</v>
      </c>
      <c r="J21" s="24">
        <v>25584</v>
      </c>
    </row>
    <row r="22" spans="1:10" ht="15" customHeight="1">
      <c r="A22" s="6" t="s">
        <v>304</v>
      </c>
      <c r="B22" s="7" t="s">
        <v>305</v>
      </c>
      <c r="C22" s="7" t="s">
        <v>303</v>
      </c>
      <c r="D22" s="20">
        <v>92773</v>
      </c>
      <c r="E22" s="22">
        <v>0.50139999999999996</v>
      </c>
      <c r="F22" s="22">
        <v>0.27579999999999999</v>
      </c>
      <c r="G22" s="23">
        <v>10.199999999999999</v>
      </c>
      <c r="H22" s="24">
        <v>480</v>
      </c>
      <c r="I22" s="25">
        <v>946.6</v>
      </c>
      <c r="J22" s="24">
        <v>25584</v>
      </c>
    </row>
    <row r="23" spans="1:10" ht="15" customHeight="1">
      <c r="A23" s="6" t="s">
        <v>306</v>
      </c>
      <c r="B23" s="7" t="s">
        <v>307</v>
      </c>
      <c r="C23" s="7" t="s">
        <v>303</v>
      </c>
      <c r="D23" s="20">
        <v>92773</v>
      </c>
      <c r="E23" s="22">
        <v>0.6099</v>
      </c>
      <c r="F23" s="22">
        <v>0.33539999999999998</v>
      </c>
      <c r="G23" s="23">
        <v>12.4</v>
      </c>
      <c r="H23" s="24">
        <v>583</v>
      </c>
      <c r="I23" s="25">
        <v>1151.4000000000001</v>
      </c>
      <c r="J23" s="24">
        <v>31120</v>
      </c>
    </row>
    <row r="24" spans="1:10" ht="15" customHeight="1">
      <c r="A24" s="6" t="s">
        <v>308</v>
      </c>
      <c r="B24" s="7" t="s">
        <v>309</v>
      </c>
      <c r="C24" s="7" t="s">
        <v>303</v>
      </c>
      <c r="D24" s="20">
        <v>92773</v>
      </c>
      <c r="E24" s="22">
        <v>0.57730000000000004</v>
      </c>
      <c r="F24" s="22">
        <v>0.3175</v>
      </c>
      <c r="G24" s="23">
        <v>11.7</v>
      </c>
      <c r="H24" s="24">
        <v>552</v>
      </c>
      <c r="I24" s="25">
        <v>1089.9000000000001</v>
      </c>
      <c r="J24" s="24">
        <v>29457</v>
      </c>
    </row>
    <row r="25" spans="1:10" ht="15" customHeight="1">
      <c r="A25" s="6" t="s">
        <v>310</v>
      </c>
      <c r="B25" s="7" t="s">
        <v>311</v>
      </c>
      <c r="C25" s="7" t="s">
        <v>303</v>
      </c>
      <c r="D25" s="20">
        <v>92773</v>
      </c>
      <c r="E25" s="22">
        <v>0.57730000000000004</v>
      </c>
      <c r="F25" s="22">
        <v>0.3175</v>
      </c>
      <c r="G25" s="23">
        <v>11.7</v>
      </c>
      <c r="H25" s="24">
        <v>552</v>
      </c>
      <c r="I25" s="25">
        <v>1089.9000000000001</v>
      </c>
      <c r="J25" s="24">
        <v>29457</v>
      </c>
    </row>
    <row r="26" spans="1:10" ht="15" customHeight="1">
      <c r="A26" s="6" t="s">
        <v>312</v>
      </c>
      <c r="B26" s="7" t="s">
        <v>313</v>
      </c>
      <c r="C26" s="7" t="s">
        <v>303</v>
      </c>
      <c r="D26" s="20">
        <v>92773</v>
      </c>
      <c r="E26" s="22">
        <v>0.61060000000000003</v>
      </c>
      <c r="F26" s="22">
        <v>0.33579999999999999</v>
      </c>
      <c r="G26" s="23">
        <v>12.4</v>
      </c>
      <c r="H26" s="24">
        <v>584</v>
      </c>
      <c r="I26" s="25">
        <v>1152.8</v>
      </c>
      <c r="J26" s="24">
        <v>31156</v>
      </c>
    </row>
    <row r="27" spans="1:10" ht="15" customHeight="1">
      <c r="A27" s="6" t="s">
        <v>314</v>
      </c>
      <c r="B27" s="7" t="s">
        <v>315</v>
      </c>
      <c r="C27" s="7" t="s">
        <v>303</v>
      </c>
      <c r="D27" s="20">
        <v>92773</v>
      </c>
      <c r="E27" s="22">
        <v>0.68520000000000003</v>
      </c>
      <c r="F27" s="22">
        <v>0.37690000000000001</v>
      </c>
      <c r="G27" s="23">
        <v>13.9</v>
      </c>
      <c r="H27" s="24">
        <v>655</v>
      </c>
      <c r="I27" s="25">
        <v>1293.5999999999999</v>
      </c>
      <c r="J27" s="24">
        <v>34962</v>
      </c>
    </row>
    <row r="28" spans="1:10" ht="15" customHeight="1">
      <c r="A28" s="6" t="s">
        <v>316</v>
      </c>
      <c r="B28" s="7" t="s">
        <v>317</v>
      </c>
      <c r="C28" s="7" t="s">
        <v>303</v>
      </c>
      <c r="D28" s="20">
        <v>92773</v>
      </c>
      <c r="E28" s="22">
        <v>0.62690000000000001</v>
      </c>
      <c r="F28" s="22">
        <v>0.3448</v>
      </c>
      <c r="G28" s="23">
        <v>12.8</v>
      </c>
      <c r="H28" s="24">
        <v>600</v>
      </c>
      <c r="I28" s="25">
        <v>1183.5</v>
      </c>
      <c r="J28" s="24">
        <v>31988</v>
      </c>
    </row>
    <row r="29" spans="1:10" ht="15" customHeight="1">
      <c r="A29" s="6" t="s">
        <v>318</v>
      </c>
      <c r="B29" s="7" t="s">
        <v>319</v>
      </c>
      <c r="C29" s="7" t="s">
        <v>303</v>
      </c>
      <c r="D29" s="20">
        <v>92773</v>
      </c>
      <c r="E29" s="22">
        <v>0.58879999999999999</v>
      </c>
      <c r="F29" s="22">
        <v>0.32379999999999998</v>
      </c>
      <c r="G29" s="23">
        <v>12</v>
      </c>
      <c r="H29" s="24">
        <v>563</v>
      </c>
      <c r="I29" s="25">
        <v>1111.5999999999999</v>
      </c>
      <c r="J29" s="24">
        <v>30044</v>
      </c>
    </row>
    <row r="30" spans="1:10" ht="15" customHeight="1">
      <c r="A30" s="6" t="s">
        <v>320</v>
      </c>
      <c r="B30" s="7" t="s">
        <v>321</v>
      </c>
      <c r="C30" s="7" t="s">
        <v>303</v>
      </c>
      <c r="D30" s="20">
        <v>92773</v>
      </c>
      <c r="E30" s="22">
        <v>0.59960000000000002</v>
      </c>
      <c r="F30" s="22">
        <v>0.32979999999999998</v>
      </c>
      <c r="G30" s="23">
        <v>12.2</v>
      </c>
      <c r="H30" s="24">
        <v>573</v>
      </c>
      <c r="I30" s="25">
        <v>1132</v>
      </c>
      <c r="J30" s="24">
        <v>30595</v>
      </c>
    </row>
    <row r="31" spans="1:10" ht="15" customHeight="1">
      <c r="A31" s="6" t="s">
        <v>322</v>
      </c>
      <c r="B31" s="7" t="s">
        <v>323</v>
      </c>
      <c r="C31" s="7" t="s">
        <v>303</v>
      </c>
      <c r="D31" s="20">
        <v>92773</v>
      </c>
      <c r="E31" s="22">
        <v>0.5948</v>
      </c>
      <c r="F31" s="22">
        <v>0.3271</v>
      </c>
      <c r="G31" s="23">
        <v>12.1</v>
      </c>
      <c r="H31" s="24">
        <v>569</v>
      </c>
      <c r="I31" s="25">
        <v>1122.9000000000001</v>
      </c>
      <c r="J31" s="24">
        <v>30350</v>
      </c>
    </row>
    <row r="32" spans="1:10" ht="15" customHeight="1">
      <c r="A32" s="6" t="s">
        <v>324</v>
      </c>
      <c r="B32" s="7" t="s">
        <v>325</v>
      </c>
      <c r="C32" s="7" t="s">
        <v>303</v>
      </c>
      <c r="D32" s="20">
        <v>92773</v>
      </c>
      <c r="E32" s="22">
        <v>0.58460000000000001</v>
      </c>
      <c r="F32" s="22">
        <v>0.32150000000000001</v>
      </c>
      <c r="G32" s="23">
        <v>11.9</v>
      </c>
      <c r="H32" s="24">
        <v>559</v>
      </c>
      <c r="I32" s="25">
        <v>1103.7</v>
      </c>
      <c r="J32" s="24">
        <v>29829</v>
      </c>
    </row>
    <row r="33" spans="1:10" ht="15" customHeight="1">
      <c r="A33" s="6" t="s">
        <v>326</v>
      </c>
      <c r="B33" s="7" t="s">
        <v>327</v>
      </c>
      <c r="C33" s="7" t="s">
        <v>303</v>
      </c>
      <c r="D33" s="20">
        <v>92773</v>
      </c>
      <c r="E33" s="22">
        <v>0.63780000000000003</v>
      </c>
      <c r="F33" s="22">
        <v>0.3508</v>
      </c>
      <c r="G33" s="23">
        <v>13</v>
      </c>
      <c r="H33" s="24">
        <v>610</v>
      </c>
      <c r="I33" s="25">
        <v>1204.0999999999999</v>
      </c>
      <c r="J33" s="24">
        <v>32544</v>
      </c>
    </row>
    <row r="34" spans="1:10" ht="15" customHeight="1">
      <c r="A34" s="6" t="s">
        <v>328</v>
      </c>
      <c r="B34" s="7" t="s">
        <v>329</v>
      </c>
      <c r="C34" s="7" t="s">
        <v>303</v>
      </c>
      <c r="D34" s="20">
        <v>92773</v>
      </c>
      <c r="E34" s="22">
        <v>0.61780000000000002</v>
      </c>
      <c r="F34" s="22">
        <v>0.33979999999999999</v>
      </c>
      <c r="G34" s="23">
        <v>12.6</v>
      </c>
      <c r="H34" s="24">
        <v>591</v>
      </c>
      <c r="I34" s="25">
        <v>1166.4000000000001</v>
      </c>
      <c r="J34" s="24">
        <v>31523</v>
      </c>
    </row>
    <row r="35" spans="1:10" ht="15" customHeight="1">
      <c r="A35" s="6" t="s">
        <v>330</v>
      </c>
      <c r="B35" s="7" t="s">
        <v>331</v>
      </c>
      <c r="C35" s="7" t="s">
        <v>303</v>
      </c>
      <c r="D35" s="20">
        <v>92773</v>
      </c>
      <c r="E35" s="22">
        <v>0.57430000000000003</v>
      </c>
      <c r="F35" s="22">
        <v>0.31590000000000001</v>
      </c>
      <c r="G35" s="23">
        <v>11.7</v>
      </c>
      <c r="H35" s="24">
        <v>549</v>
      </c>
      <c r="I35" s="25">
        <v>1084.2</v>
      </c>
      <c r="J35" s="24">
        <v>29304</v>
      </c>
    </row>
    <row r="36" spans="1:10" ht="15" customHeight="1">
      <c r="A36" s="6" t="s">
        <v>332</v>
      </c>
      <c r="B36" s="7" t="s">
        <v>333</v>
      </c>
      <c r="C36" s="7" t="s">
        <v>303</v>
      </c>
      <c r="D36" s="20">
        <v>92773</v>
      </c>
      <c r="E36" s="22">
        <v>0.60060000000000002</v>
      </c>
      <c r="F36" s="22">
        <v>0.33029999999999998</v>
      </c>
      <c r="G36" s="23">
        <v>12.2</v>
      </c>
      <c r="H36" s="24">
        <v>574</v>
      </c>
      <c r="I36" s="25">
        <v>1133.9000000000001</v>
      </c>
      <c r="J36" s="24">
        <v>30646</v>
      </c>
    </row>
    <row r="37" spans="1:10" ht="15" customHeight="1">
      <c r="A37" s="6" t="s">
        <v>334</v>
      </c>
      <c r="B37" s="7" t="s">
        <v>335</v>
      </c>
      <c r="C37" s="7" t="s">
        <v>303</v>
      </c>
      <c r="D37" s="20">
        <v>92773</v>
      </c>
      <c r="E37" s="22">
        <v>0.61380000000000001</v>
      </c>
      <c r="F37" s="22">
        <v>0.33760000000000001</v>
      </c>
      <c r="G37" s="23">
        <v>12.5</v>
      </c>
      <c r="H37" s="24">
        <v>587</v>
      </c>
      <c r="I37" s="25">
        <v>1158.8</v>
      </c>
      <c r="J37" s="24">
        <v>31319</v>
      </c>
    </row>
    <row r="38" spans="1:10" ht="15" customHeight="1">
      <c r="A38" s="6" t="s">
        <v>336</v>
      </c>
      <c r="B38" s="7" t="s">
        <v>337</v>
      </c>
      <c r="C38" s="7" t="s">
        <v>303</v>
      </c>
      <c r="D38" s="20">
        <v>92773</v>
      </c>
      <c r="E38" s="22">
        <v>0.70669999999999999</v>
      </c>
      <c r="F38" s="22">
        <v>0.38869999999999999</v>
      </c>
      <c r="G38" s="23">
        <v>14.4</v>
      </c>
      <c r="H38" s="24">
        <v>676</v>
      </c>
      <c r="I38" s="25">
        <v>1334.2</v>
      </c>
      <c r="J38" s="24">
        <v>36059</v>
      </c>
    </row>
    <row r="39" spans="1:10" ht="15" customHeight="1">
      <c r="A39" s="6" t="s">
        <v>338</v>
      </c>
      <c r="B39" s="7" t="s">
        <v>339</v>
      </c>
      <c r="C39" s="7" t="s">
        <v>303</v>
      </c>
      <c r="D39" s="20">
        <v>92773</v>
      </c>
      <c r="E39" s="22">
        <v>0.56000000000000005</v>
      </c>
      <c r="F39" s="22">
        <v>0.308</v>
      </c>
      <c r="G39" s="23">
        <v>11.4</v>
      </c>
      <c r="H39" s="24">
        <v>536</v>
      </c>
      <c r="I39" s="25">
        <v>1057.2</v>
      </c>
      <c r="J39" s="24">
        <v>28574</v>
      </c>
    </row>
    <row r="40" spans="1:10" ht="15" customHeight="1">
      <c r="A40" s="6" t="s">
        <v>340</v>
      </c>
      <c r="B40" s="7" t="s">
        <v>341</v>
      </c>
      <c r="C40" s="7" t="s">
        <v>303</v>
      </c>
      <c r="D40" s="20">
        <v>92773</v>
      </c>
      <c r="E40" s="22">
        <v>0.62709999999999999</v>
      </c>
      <c r="F40" s="22">
        <v>0.34489999999999998</v>
      </c>
      <c r="G40" s="23">
        <v>12.8</v>
      </c>
      <c r="H40" s="24">
        <v>600</v>
      </c>
      <c r="I40" s="25">
        <v>1183.9000000000001</v>
      </c>
      <c r="J40" s="24">
        <v>31998</v>
      </c>
    </row>
    <row r="41" spans="1:10" ht="15" customHeight="1">
      <c r="A41" s="6" t="s">
        <v>342</v>
      </c>
      <c r="B41" s="7" t="s">
        <v>343</v>
      </c>
      <c r="C41" s="7" t="s">
        <v>303</v>
      </c>
      <c r="D41" s="20">
        <v>92773</v>
      </c>
      <c r="E41" s="22">
        <v>0.69299999999999995</v>
      </c>
      <c r="F41" s="22">
        <v>0.38109999999999999</v>
      </c>
      <c r="G41" s="23">
        <v>14.1</v>
      </c>
      <c r="H41" s="24">
        <v>663</v>
      </c>
      <c r="I41" s="25">
        <v>1308.3</v>
      </c>
      <c r="J41" s="24">
        <v>35360</v>
      </c>
    </row>
    <row r="42" spans="1:10" ht="15" customHeight="1">
      <c r="A42" s="6" t="s">
        <v>344</v>
      </c>
      <c r="B42" s="7" t="s">
        <v>345</v>
      </c>
      <c r="C42" s="7" t="s">
        <v>303</v>
      </c>
      <c r="D42" s="20">
        <v>92773</v>
      </c>
      <c r="E42" s="22">
        <v>0.62719999999999998</v>
      </c>
      <c r="F42" s="22">
        <v>0.34499999999999997</v>
      </c>
      <c r="G42" s="23">
        <v>12.8</v>
      </c>
      <c r="H42" s="24">
        <v>600</v>
      </c>
      <c r="I42" s="25">
        <v>1184.0999999999999</v>
      </c>
      <c r="J42" s="24">
        <v>32003</v>
      </c>
    </row>
    <row r="43" spans="1:10" ht="15" customHeight="1">
      <c r="A43" s="6" t="s">
        <v>346</v>
      </c>
      <c r="B43" s="7" t="s">
        <v>347</v>
      </c>
      <c r="C43" s="7" t="s">
        <v>348</v>
      </c>
      <c r="D43" s="20">
        <v>75214</v>
      </c>
      <c r="E43" s="22">
        <v>0.79159999999999997</v>
      </c>
      <c r="F43" s="22">
        <v>0.39579999999999999</v>
      </c>
      <c r="G43" s="23">
        <v>14.6</v>
      </c>
      <c r="H43" s="24">
        <v>688</v>
      </c>
      <c r="I43" s="25">
        <v>1101.5</v>
      </c>
      <c r="J43" s="24">
        <v>29770</v>
      </c>
    </row>
    <row r="44" spans="1:10" ht="15" customHeight="1">
      <c r="A44" s="6" t="s">
        <v>349</v>
      </c>
      <c r="B44" s="7" t="s">
        <v>350</v>
      </c>
      <c r="C44" s="7" t="s">
        <v>348</v>
      </c>
      <c r="D44" s="20">
        <v>75214</v>
      </c>
      <c r="E44" s="22">
        <v>0.79159999999999997</v>
      </c>
      <c r="F44" s="22">
        <v>0.39579999999999999</v>
      </c>
      <c r="G44" s="23">
        <v>14.6</v>
      </c>
      <c r="H44" s="24">
        <v>688</v>
      </c>
      <c r="I44" s="25">
        <v>1101.5</v>
      </c>
      <c r="J44" s="24">
        <v>29770</v>
      </c>
    </row>
    <row r="45" spans="1:10" ht="15" customHeight="1">
      <c r="A45" s="6" t="s">
        <v>351</v>
      </c>
      <c r="B45" s="7" t="s">
        <v>352</v>
      </c>
      <c r="C45" s="7" t="s">
        <v>348</v>
      </c>
      <c r="D45" s="20">
        <v>75214</v>
      </c>
      <c r="E45" s="22">
        <v>0.78710000000000002</v>
      </c>
      <c r="F45" s="22">
        <v>0.39350000000000002</v>
      </c>
      <c r="G45" s="23">
        <v>14.6</v>
      </c>
      <c r="H45" s="24">
        <v>684</v>
      </c>
      <c r="I45" s="25">
        <v>1095.2</v>
      </c>
      <c r="J45" s="24">
        <v>29600</v>
      </c>
    </row>
    <row r="46" spans="1:10" ht="15" customHeight="1">
      <c r="A46" s="6" t="s">
        <v>353</v>
      </c>
      <c r="B46" s="7" t="s">
        <v>354</v>
      </c>
      <c r="C46" s="7" t="s">
        <v>348</v>
      </c>
      <c r="D46" s="20">
        <v>75214</v>
      </c>
      <c r="E46" s="22">
        <v>0.79159999999999997</v>
      </c>
      <c r="F46" s="22">
        <v>0.39579999999999999</v>
      </c>
      <c r="G46" s="23">
        <v>14.6</v>
      </c>
      <c r="H46" s="24">
        <v>688</v>
      </c>
      <c r="I46" s="25">
        <v>1101.5</v>
      </c>
      <c r="J46" s="24">
        <v>29770</v>
      </c>
    </row>
    <row r="47" spans="1:10" ht="15" customHeight="1">
      <c r="A47" s="6" t="s">
        <v>355</v>
      </c>
      <c r="B47" s="7" t="s">
        <v>356</v>
      </c>
      <c r="C47" s="7" t="s">
        <v>348</v>
      </c>
      <c r="D47" s="20">
        <v>75214</v>
      </c>
      <c r="E47" s="22">
        <v>0.75270000000000004</v>
      </c>
      <c r="F47" s="22">
        <v>0.37630000000000002</v>
      </c>
      <c r="G47" s="23">
        <v>13.9</v>
      </c>
      <c r="H47" s="24">
        <v>654</v>
      </c>
      <c r="I47" s="25">
        <v>1047.4000000000001</v>
      </c>
      <c r="J47" s="24">
        <v>28307</v>
      </c>
    </row>
    <row r="48" spans="1:10" ht="15" customHeight="1">
      <c r="A48" s="6" t="s">
        <v>357</v>
      </c>
      <c r="B48" s="7" t="s">
        <v>358</v>
      </c>
      <c r="C48" s="7" t="s">
        <v>348</v>
      </c>
      <c r="D48" s="20">
        <v>75214</v>
      </c>
      <c r="E48" s="22">
        <v>0.78439999999999999</v>
      </c>
      <c r="F48" s="22">
        <v>0.39219999999999999</v>
      </c>
      <c r="G48" s="23">
        <v>14.5</v>
      </c>
      <c r="H48" s="24">
        <v>682</v>
      </c>
      <c r="I48" s="25">
        <v>1091.5</v>
      </c>
      <c r="J48" s="24">
        <v>29499</v>
      </c>
    </row>
    <row r="49" spans="1:10" ht="15" customHeight="1">
      <c r="A49" s="6" t="s">
        <v>359</v>
      </c>
      <c r="B49" s="7" t="s">
        <v>360</v>
      </c>
      <c r="C49" s="7" t="s">
        <v>348</v>
      </c>
      <c r="D49" s="20">
        <v>75214</v>
      </c>
      <c r="E49" s="22">
        <v>0.76890000000000003</v>
      </c>
      <c r="F49" s="22">
        <v>0.38450000000000001</v>
      </c>
      <c r="G49" s="23">
        <v>14.2</v>
      </c>
      <c r="H49" s="24">
        <v>669</v>
      </c>
      <c r="I49" s="25">
        <v>1069.9000000000001</v>
      </c>
      <c r="J49" s="24">
        <v>28916</v>
      </c>
    </row>
    <row r="50" spans="1:10" ht="15" customHeight="1">
      <c r="A50" s="6" t="s">
        <v>361</v>
      </c>
      <c r="B50" s="7" t="s">
        <v>362</v>
      </c>
      <c r="C50" s="7" t="s">
        <v>348</v>
      </c>
      <c r="D50" s="20">
        <v>75214</v>
      </c>
      <c r="E50" s="22">
        <v>0.76280000000000003</v>
      </c>
      <c r="F50" s="22">
        <v>0.38140000000000002</v>
      </c>
      <c r="G50" s="23">
        <v>14.1</v>
      </c>
      <c r="H50" s="24">
        <v>663</v>
      </c>
      <c r="I50" s="25">
        <v>1061.4000000000001</v>
      </c>
      <c r="J50" s="24">
        <v>28687</v>
      </c>
    </row>
    <row r="51" spans="1:10" ht="15" customHeight="1">
      <c r="A51" s="6" t="s">
        <v>363</v>
      </c>
      <c r="B51" s="7" t="s">
        <v>364</v>
      </c>
      <c r="C51" s="7" t="s">
        <v>348</v>
      </c>
      <c r="D51" s="20">
        <v>75214</v>
      </c>
      <c r="E51" s="22">
        <v>0.76280000000000003</v>
      </c>
      <c r="F51" s="22">
        <v>0.38140000000000002</v>
      </c>
      <c r="G51" s="23">
        <v>14.1</v>
      </c>
      <c r="H51" s="24">
        <v>663</v>
      </c>
      <c r="I51" s="25">
        <v>1061.4000000000001</v>
      </c>
      <c r="J51" s="24">
        <v>28687</v>
      </c>
    </row>
    <row r="52" spans="1:10" ht="15" customHeight="1">
      <c r="A52" s="6" t="s">
        <v>365</v>
      </c>
      <c r="B52" s="7" t="s">
        <v>366</v>
      </c>
      <c r="C52" s="7" t="s">
        <v>348</v>
      </c>
      <c r="D52" s="20">
        <v>75214</v>
      </c>
      <c r="E52" s="22">
        <v>0.76080000000000003</v>
      </c>
      <c r="F52" s="22">
        <v>0.38040000000000002</v>
      </c>
      <c r="G52" s="23">
        <v>14.1</v>
      </c>
      <c r="H52" s="24">
        <v>662</v>
      </c>
      <c r="I52" s="25">
        <v>1058.5999999999999</v>
      </c>
      <c r="J52" s="24">
        <v>28611</v>
      </c>
    </row>
    <row r="53" spans="1:10" ht="15" customHeight="1">
      <c r="A53" s="6" t="s">
        <v>367</v>
      </c>
      <c r="B53" s="7" t="s">
        <v>368</v>
      </c>
      <c r="C53" s="7" t="s">
        <v>348</v>
      </c>
      <c r="D53" s="20">
        <v>75214</v>
      </c>
      <c r="E53" s="22">
        <v>0.76580000000000004</v>
      </c>
      <c r="F53" s="22">
        <v>0.38290000000000002</v>
      </c>
      <c r="G53" s="23">
        <v>14.2</v>
      </c>
      <c r="H53" s="24">
        <v>666</v>
      </c>
      <c r="I53" s="25">
        <v>1065.5999999999999</v>
      </c>
      <c r="J53" s="24">
        <v>28799</v>
      </c>
    </row>
    <row r="54" spans="1:10" ht="15" customHeight="1">
      <c r="A54" s="6" t="s">
        <v>369</v>
      </c>
      <c r="B54" s="7" t="s">
        <v>370</v>
      </c>
      <c r="C54" s="7" t="s">
        <v>348</v>
      </c>
      <c r="D54" s="20">
        <v>75214</v>
      </c>
      <c r="E54" s="22">
        <v>0.76280000000000003</v>
      </c>
      <c r="F54" s="22">
        <v>0.38140000000000002</v>
      </c>
      <c r="G54" s="23">
        <v>14.1</v>
      </c>
      <c r="H54" s="24">
        <v>663</v>
      </c>
      <c r="I54" s="25">
        <v>1061.4000000000001</v>
      </c>
      <c r="J54" s="24">
        <v>28687</v>
      </c>
    </row>
    <row r="55" spans="1:10" ht="15" customHeight="1">
      <c r="A55" s="6" t="s">
        <v>371</v>
      </c>
      <c r="B55" s="7" t="s">
        <v>372</v>
      </c>
      <c r="C55" s="7" t="s">
        <v>348</v>
      </c>
      <c r="D55" s="20">
        <v>75214</v>
      </c>
      <c r="E55" s="22">
        <v>0.72030000000000005</v>
      </c>
      <c r="F55" s="22">
        <v>0.36020000000000002</v>
      </c>
      <c r="G55" s="23">
        <v>13.3</v>
      </c>
      <c r="H55" s="24">
        <v>626</v>
      </c>
      <c r="I55" s="25">
        <v>1002.3</v>
      </c>
      <c r="J55" s="24">
        <v>27088</v>
      </c>
    </row>
    <row r="56" spans="1:10" ht="15" customHeight="1">
      <c r="A56" s="6" t="s">
        <v>373</v>
      </c>
      <c r="B56" s="7" t="s">
        <v>374</v>
      </c>
      <c r="C56" s="7" t="s">
        <v>348</v>
      </c>
      <c r="D56" s="20">
        <v>75214</v>
      </c>
      <c r="E56" s="22">
        <v>0.74609999999999999</v>
      </c>
      <c r="F56" s="22">
        <v>0.373</v>
      </c>
      <c r="G56" s="23">
        <v>13.8</v>
      </c>
      <c r="H56" s="24">
        <v>649</v>
      </c>
      <c r="I56" s="25">
        <v>1038.2</v>
      </c>
      <c r="J56" s="24">
        <v>28059</v>
      </c>
    </row>
    <row r="57" spans="1:10" ht="15" customHeight="1">
      <c r="A57" s="6" t="s">
        <v>375</v>
      </c>
      <c r="B57" s="7" t="s">
        <v>376</v>
      </c>
      <c r="C57" s="7" t="s">
        <v>348</v>
      </c>
      <c r="D57" s="20">
        <v>75214</v>
      </c>
      <c r="E57" s="22">
        <v>0.71430000000000005</v>
      </c>
      <c r="F57" s="22">
        <v>0.35709999999999997</v>
      </c>
      <c r="G57" s="23">
        <v>13.2</v>
      </c>
      <c r="H57" s="24">
        <v>621</v>
      </c>
      <c r="I57" s="25">
        <v>993.9</v>
      </c>
      <c r="J57" s="24">
        <v>26863</v>
      </c>
    </row>
    <row r="58" spans="1:10" ht="15" customHeight="1">
      <c r="A58" s="6" t="s">
        <v>377</v>
      </c>
      <c r="B58" s="7" t="s">
        <v>378</v>
      </c>
      <c r="C58" s="7" t="s">
        <v>348</v>
      </c>
      <c r="D58" s="20">
        <v>75214</v>
      </c>
      <c r="E58" s="22">
        <v>0.68669999999999998</v>
      </c>
      <c r="F58" s="22">
        <v>0.34329999999999999</v>
      </c>
      <c r="G58" s="23">
        <v>12.7</v>
      </c>
      <c r="H58" s="24">
        <v>597</v>
      </c>
      <c r="I58" s="25">
        <v>955.5</v>
      </c>
      <c r="J58" s="24">
        <v>25825</v>
      </c>
    </row>
    <row r="59" spans="1:10" ht="15" customHeight="1">
      <c r="A59" s="6" t="s">
        <v>379</v>
      </c>
      <c r="B59" s="7" t="s">
        <v>380</v>
      </c>
      <c r="C59" s="7" t="s">
        <v>348</v>
      </c>
      <c r="D59" s="20">
        <v>75214</v>
      </c>
      <c r="E59" s="22">
        <v>0.76880000000000004</v>
      </c>
      <c r="F59" s="22">
        <v>0.38440000000000002</v>
      </c>
      <c r="G59" s="23">
        <v>14.2</v>
      </c>
      <c r="H59" s="24">
        <v>668</v>
      </c>
      <c r="I59" s="25">
        <v>1069.8</v>
      </c>
      <c r="J59" s="24">
        <v>28912</v>
      </c>
    </row>
    <row r="60" spans="1:10" ht="15" customHeight="1">
      <c r="A60" s="6" t="s">
        <v>381</v>
      </c>
      <c r="B60" s="7" t="s">
        <v>382</v>
      </c>
      <c r="C60" s="7" t="s">
        <v>348</v>
      </c>
      <c r="D60" s="20">
        <v>75214</v>
      </c>
      <c r="E60" s="22">
        <v>0.76339999999999997</v>
      </c>
      <c r="F60" s="22">
        <v>0.38169999999999998</v>
      </c>
      <c r="G60" s="23">
        <v>14.1</v>
      </c>
      <c r="H60" s="24">
        <v>664</v>
      </c>
      <c r="I60" s="25">
        <v>1062.2</v>
      </c>
      <c r="J60" s="24">
        <v>28709</v>
      </c>
    </row>
    <row r="61" spans="1:10" ht="15" customHeight="1">
      <c r="A61" s="6" t="s">
        <v>383</v>
      </c>
      <c r="B61" s="7" t="s">
        <v>384</v>
      </c>
      <c r="C61" s="7" t="s">
        <v>348</v>
      </c>
      <c r="D61" s="20">
        <v>75214</v>
      </c>
      <c r="E61" s="22">
        <v>0.77749999999999997</v>
      </c>
      <c r="F61" s="22">
        <v>0.38869999999999999</v>
      </c>
      <c r="G61" s="23">
        <v>14.4</v>
      </c>
      <c r="H61" s="24">
        <v>676</v>
      </c>
      <c r="I61" s="25">
        <v>1081.9000000000001</v>
      </c>
      <c r="J61" s="24">
        <v>29239</v>
      </c>
    </row>
    <row r="62" spans="1:10" ht="15" customHeight="1">
      <c r="A62" s="6" t="s">
        <v>385</v>
      </c>
      <c r="B62" s="7" t="s">
        <v>386</v>
      </c>
      <c r="C62" s="7" t="s">
        <v>348</v>
      </c>
      <c r="D62" s="20">
        <v>75214</v>
      </c>
      <c r="E62" s="22">
        <v>0.76829999999999998</v>
      </c>
      <c r="F62" s="22">
        <v>0.3841</v>
      </c>
      <c r="G62" s="23">
        <v>14.2</v>
      </c>
      <c r="H62" s="24">
        <v>668</v>
      </c>
      <c r="I62" s="25">
        <v>1069.0999999999999</v>
      </c>
      <c r="J62" s="24">
        <v>28893</v>
      </c>
    </row>
    <row r="63" spans="1:10" ht="15" customHeight="1">
      <c r="A63" s="6" t="s">
        <v>387</v>
      </c>
      <c r="B63" s="7" t="s">
        <v>388</v>
      </c>
      <c r="C63" s="7" t="s">
        <v>348</v>
      </c>
      <c r="D63" s="20">
        <v>75214</v>
      </c>
      <c r="E63" s="22">
        <v>0.71050000000000002</v>
      </c>
      <c r="F63" s="22">
        <v>0.3553</v>
      </c>
      <c r="G63" s="23">
        <v>13.1</v>
      </c>
      <c r="H63" s="24">
        <v>618</v>
      </c>
      <c r="I63" s="25">
        <v>988.6</v>
      </c>
      <c r="J63" s="24">
        <v>26720</v>
      </c>
    </row>
    <row r="64" spans="1:10" ht="15" customHeight="1">
      <c r="A64" s="6" t="s">
        <v>389</v>
      </c>
      <c r="B64" s="7" t="s">
        <v>390</v>
      </c>
      <c r="C64" s="7" t="s">
        <v>348</v>
      </c>
      <c r="D64" s="20">
        <v>75214</v>
      </c>
      <c r="E64" s="22">
        <v>0.75119999999999998</v>
      </c>
      <c r="F64" s="22">
        <v>0.37559999999999999</v>
      </c>
      <c r="G64" s="23">
        <v>13.9</v>
      </c>
      <c r="H64" s="24">
        <v>653</v>
      </c>
      <c r="I64" s="25">
        <v>1045.3</v>
      </c>
      <c r="J64" s="24">
        <v>28250</v>
      </c>
    </row>
    <row r="65" spans="1:10" ht="15" customHeight="1">
      <c r="A65" s="6" t="s">
        <v>391</v>
      </c>
      <c r="B65" s="7" t="s">
        <v>392</v>
      </c>
      <c r="C65" s="7" t="s">
        <v>348</v>
      </c>
      <c r="D65" s="20">
        <v>75214</v>
      </c>
      <c r="E65" s="22">
        <v>0.76900000000000002</v>
      </c>
      <c r="F65" s="22">
        <v>0.38450000000000001</v>
      </c>
      <c r="G65" s="23">
        <v>14.2</v>
      </c>
      <c r="H65" s="24">
        <v>669</v>
      </c>
      <c r="I65" s="25">
        <v>1070</v>
      </c>
      <c r="J65" s="24">
        <v>28920</v>
      </c>
    </row>
    <row r="66" spans="1:10" ht="15" customHeight="1">
      <c r="A66" s="6" t="s">
        <v>393</v>
      </c>
      <c r="B66" s="7" t="s">
        <v>394</v>
      </c>
      <c r="C66" s="7" t="s">
        <v>348</v>
      </c>
      <c r="D66" s="20">
        <v>75214</v>
      </c>
      <c r="E66" s="22">
        <v>0.73729999999999996</v>
      </c>
      <c r="F66" s="22">
        <v>0.36870000000000003</v>
      </c>
      <c r="G66" s="23">
        <v>13.6</v>
      </c>
      <c r="H66" s="24">
        <v>641</v>
      </c>
      <c r="I66" s="25">
        <v>1025.9000000000001</v>
      </c>
      <c r="J66" s="24">
        <v>27728</v>
      </c>
    </row>
    <row r="67" spans="1:10" ht="15" customHeight="1">
      <c r="A67" s="6" t="s">
        <v>395</v>
      </c>
      <c r="B67" s="7" t="s">
        <v>396</v>
      </c>
      <c r="C67" s="7" t="s">
        <v>348</v>
      </c>
      <c r="D67" s="20">
        <v>75214</v>
      </c>
      <c r="E67" s="22">
        <v>0.71719999999999995</v>
      </c>
      <c r="F67" s="22">
        <v>0.35859999999999997</v>
      </c>
      <c r="G67" s="23">
        <v>13.3</v>
      </c>
      <c r="H67" s="24">
        <v>624</v>
      </c>
      <c r="I67" s="25">
        <v>998</v>
      </c>
      <c r="J67" s="24">
        <v>26972</v>
      </c>
    </row>
    <row r="68" spans="1:10" ht="15" customHeight="1">
      <c r="A68" s="6" t="s">
        <v>397</v>
      </c>
      <c r="B68" s="7" t="s">
        <v>398</v>
      </c>
      <c r="C68" s="7" t="s">
        <v>348</v>
      </c>
      <c r="D68" s="20">
        <v>75214</v>
      </c>
      <c r="E68" s="22">
        <v>0.75249999999999995</v>
      </c>
      <c r="F68" s="22">
        <v>0.37619999999999998</v>
      </c>
      <c r="G68" s="23">
        <v>13.9</v>
      </c>
      <c r="H68" s="24">
        <v>654</v>
      </c>
      <c r="I68" s="25">
        <v>1047.0999999999999</v>
      </c>
      <c r="J68" s="24">
        <v>28299</v>
      </c>
    </row>
    <row r="69" spans="1:10" ht="15" customHeight="1">
      <c r="A69" s="6" t="s">
        <v>399</v>
      </c>
      <c r="B69" s="7" t="s">
        <v>400</v>
      </c>
      <c r="C69" s="7" t="s">
        <v>348</v>
      </c>
      <c r="D69" s="20">
        <v>75214</v>
      </c>
      <c r="E69" s="22">
        <v>0.82499999999999996</v>
      </c>
      <c r="F69" s="22">
        <v>0.41249999999999998</v>
      </c>
      <c r="G69" s="23">
        <v>15.3</v>
      </c>
      <c r="H69" s="24">
        <v>717</v>
      </c>
      <c r="I69" s="25">
        <v>1148</v>
      </c>
      <c r="J69" s="24">
        <v>31026</v>
      </c>
    </row>
    <row r="70" spans="1:10" ht="15" customHeight="1">
      <c r="A70" s="6" t="s">
        <v>401</v>
      </c>
      <c r="B70" s="7" t="s">
        <v>402</v>
      </c>
      <c r="C70" s="7" t="s">
        <v>348</v>
      </c>
      <c r="D70" s="20">
        <v>75214</v>
      </c>
      <c r="E70" s="22">
        <v>0.81530000000000002</v>
      </c>
      <c r="F70" s="22">
        <v>0.40770000000000001</v>
      </c>
      <c r="G70" s="23">
        <v>15.1</v>
      </c>
      <c r="H70" s="24">
        <v>709</v>
      </c>
      <c r="I70" s="25">
        <v>1134.5</v>
      </c>
      <c r="J70" s="24">
        <v>30661</v>
      </c>
    </row>
    <row r="71" spans="1:10" ht="15" customHeight="1">
      <c r="A71" s="6" t="s">
        <v>403</v>
      </c>
      <c r="B71" s="7" t="s">
        <v>404</v>
      </c>
      <c r="C71" s="7" t="s">
        <v>405</v>
      </c>
      <c r="D71" s="20">
        <v>71038</v>
      </c>
      <c r="E71" s="22">
        <v>0.67469999999999997</v>
      </c>
      <c r="F71" s="22">
        <v>0.37109999999999999</v>
      </c>
      <c r="G71" s="23">
        <v>13.7</v>
      </c>
      <c r="H71" s="24">
        <v>645</v>
      </c>
      <c r="I71" s="25">
        <v>975.4</v>
      </c>
      <c r="J71" s="24">
        <v>26361</v>
      </c>
    </row>
    <row r="72" spans="1:10" ht="15" customHeight="1">
      <c r="A72" s="6" t="s">
        <v>406</v>
      </c>
      <c r="B72" s="7" t="s">
        <v>407</v>
      </c>
      <c r="C72" s="7" t="s">
        <v>405</v>
      </c>
      <c r="D72" s="20">
        <v>71038</v>
      </c>
      <c r="E72" s="22">
        <v>0.67969999999999997</v>
      </c>
      <c r="F72" s="22">
        <v>0.37380000000000002</v>
      </c>
      <c r="G72" s="23">
        <v>13.8</v>
      </c>
      <c r="H72" s="24">
        <v>650</v>
      </c>
      <c r="I72" s="25">
        <v>982.6</v>
      </c>
      <c r="J72" s="24">
        <v>26556</v>
      </c>
    </row>
    <row r="73" spans="1:10" ht="15" customHeight="1">
      <c r="A73" s="6" t="s">
        <v>408</v>
      </c>
      <c r="B73" s="7" t="s">
        <v>409</v>
      </c>
      <c r="C73" s="7" t="s">
        <v>405</v>
      </c>
      <c r="D73" s="20">
        <v>71038</v>
      </c>
      <c r="E73" s="22">
        <v>0.49030000000000001</v>
      </c>
      <c r="F73" s="22">
        <v>0.2697</v>
      </c>
      <c r="G73" s="23">
        <v>10</v>
      </c>
      <c r="H73" s="24">
        <v>469</v>
      </c>
      <c r="I73" s="25">
        <v>708.8</v>
      </c>
      <c r="J73" s="24">
        <v>19156</v>
      </c>
    </row>
    <row r="74" spans="1:10" ht="15" customHeight="1">
      <c r="A74" s="6" t="s">
        <v>410</v>
      </c>
      <c r="B74" s="7" t="s">
        <v>411</v>
      </c>
      <c r="C74" s="7" t="s">
        <v>405</v>
      </c>
      <c r="D74" s="20">
        <v>71038</v>
      </c>
      <c r="E74" s="22">
        <v>0.56559999999999999</v>
      </c>
      <c r="F74" s="22">
        <v>0.31109999999999999</v>
      </c>
      <c r="G74" s="23">
        <v>11.5</v>
      </c>
      <c r="H74" s="24">
        <v>541</v>
      </c>
      <c r="I74" s="25">
        <v>817.6</v>
      </c>
      <c r="J74" s="24">
        <v>22099</v>
      </c>
    </row>
    <row r="75" spans="1:10" ht="15" customHeight="1">
      <c r="A75" s="6" t="s">
        <v>412</v>
      </c>
      <c r="B75" s="7" t="s">
        <v>413</v>
      </c>
      <c r="C75" s="7" t="s">
        <v>405</v>
      </c>
      <c r="D75" s="20">
        <v>71038</v>
      </c>
      <c r="E75" s="22">
        <v>0.61839999999999995</v>
      </c>
      <c r="F75" s="22">
        <v>0.34010000000000001</v>
      </c>
      <c r="G75" s="23">
        <v>12.6</v>
      </c>
      <c r="H75" s="24">
        <v>591</v>
      </c>
      <c r="I75" s="25">
        <v>894</v>
      </c>
      <c r="J75" s="24">
        <v>24161</v>
      </c>
    </row>
    <row r="76" spans="1:10" ht="15" customHeight="1">
      <c r="A76" s="6" t="s">
        <v>414</v>
      </c>
      <c r="B76" s="7" t="s">
        <v>415</v>
      </c>
      <c r="C76" s="7" t="s">
        <v>405</v>
      </c>
      <c r="D76" s="20">
        <v>71038</v>
      </c>
      <c r="E76" s="22">
        <v>0.59560000000000002</v>
      </c>
      <c r="F76" s="22">
        <v>0.3276</v>
      </c>
      <c r="G76" s="23">
        <v>12.1</v>
      </c>
      <c r="H76" s="24">
        <v>570</v>
      </c>
      <c r="I76" s="25">
        <v>861</v>
      </c>
      <c r="J76" s="24">
        <v>23271</v>
      </c>
    </row>
    <row r="77" spans="1:10" ht="15" customHeight="1">
      <c r="A77" s="6" t="s">
        <v>416</v>
      </c>
      <c r="B77" s="7" t="s">
        <v>417</v>
      </c>
      <c r="C77" s="7" t="s">
        <v>405</v>
      </c>
      <c r="D77" s="20">
        <v>71038</v>
      </c>
      <c r="E77" s="22">
        <v>0.63129999999999997</v>
      </c>
      <c r="F77" s="22">
        <v>0.34720000000000001</v>
      </c>
      <c r="G77" s="23">
        <v>12.8</v>
      </c>
      <c r="H77" s="24">
        <v>604</v>
      </c>
      <c r="I77" s="25">
        <v>912.6</v>
      </c>
      <c r="J77" s="24">
        <v>24665</v>
      </c>
    </row>
    <row r="78" spans="1:10" ht="15" customHeight="1">
      <c r="A78" s="6" t="s">
        <v>418</v>
      </c>
      <c r="B78" s="7" t="s">
        <v>419</v>
      </c>
      <c r="C78" s="7" t="s">
        <v>405</v>
      </c>
      <c r="D78" s="20">
        <v>71038</v>
      </c>
      <c r="E78" s="22">
        <v>0.7127</v>
      </c>
      <c r="F78" s="22">
        <v>0.39200000000000002</v>
      </c>
      <c r="G78" s="23">
        <v>14.5</v>
      </c>
      <c r="H78" s="24">
        <v>682</v>
      </c>
      <c r="I78" s="25">
        <v>1030.3</v>
      </c>
      <c r="J78" s="24">
        <v>27846</v>
      </c>
    </row>
    <row r="79" spans="1:10" ht="15" customHeight="1">
      <c r="A79" s="6" t="s">
        <v>420</v>
      </c>
      <c r="B79" s="7" t="s">
        <v>421</v>
      </c>
      <c r="C79" s="7" t="s">
        <v>405</v>
      </c>
      <c r="D79" s="20">
        <v>71038</v>
      </c>
      <c r="E79" s="22">
        <v>0.71160000000000001</v>
      </c>
      <c r="F79" s="22">
        <v>0.39140000000000003</v>
      </c>
      <c r="G79" s="23">
        <v>14.5</v>
      </c>
      <c r="H79" s="24">
        <v>681</v>
      </c>
      <c r="I79" s="25">
        <v>1028.7</v>
      </c>
      <c r="J79" s="24">
        <v>27803</v>
      </c>
    </row>
    <row r="80" spans="1:10" ht="15" customHeight="1">
      <c r="A80" s="6" t="s">
        <v>422</v>
      </c>
      <c r="B80" s="7" t="s">
        <v>423</v>
      </c>
      <c r="C80" s="7" t="s">
        <v>405</v>
      </c>
      <c r="D80" s="20">
        <v>71038</v>
      </c>
      <c r="E80" s="22">
        <v>0.5776</v>
      </c>
      <c r="F80" s="22">
        <v>0.31769999999999998</v>
      </c>
      <c r="G80" s="23">
        <v>11.8</v>
      </c>
      <c r="H80" s="24">
        <v>552</v>
      </c>
      <c r="I80" s="25">
        <v>835</v>
      </c>
      <c r="J80" s="24">
        <v>22567</v>
      </c>
    </row>
    <row r="81" spans="1:10" ht="15" customHeight="1">
      <c r="A81" s="6" t="s">
        <v>424</v>
      </c>
      <c r="B81" s="7" t="s">
        <v>425</v>
      </c>
      <c r="C81" s="7" t="s">
        <v>405</v>
      </c>
      <c r="D81" s="20">
        <v>71038</v>
      </c>
      <c r="E81" s="22">
        <v>0.56420000000000003</v>
      </c>
      <c r="F81" s="22">
        <v>0.31030000000000002</v>
      </c>
      <c r="G81" s="23">
        <v>11.5</v>
      </c>
      <c r="H81" s="24">
        <v>540</v>
      </c>
      <c r="I81" s="25">
        <v>815.6</v>
      </c>
      <c r="J81" s="24">
        <v>22044</v>
      </c>
    </row>
    <row r="82" spans="1:10" ht="15" customHeight="1">
      <c r="A82" s="6" t="s">
        <v>426</v>
      </c>
      <c r="B82" s="7" t="s">
        <v>427</v>
      </c>
      <c r="C82" s="7" t="s">
        <v>405</v>
      </c>
      <c r="D82" s="20">
        <v>71038</v>
      </c>
      <c r="E82" s="22">
        <v>0.60540000000000005</v>
      </c>
      <c r="F82" s="22">
        <v>0.33300000000000002</v>
      </c>
      <c r="G82" s="23">
        <v>12.3</v>
      </c>
      <c r="H82" s="24">
        <v>579</v>
      </c>
      <c r="I82" s="25">
        <v>875.2</v>
      </c>
      <c r="J82" s="24">
        <v>23654</v>
      </c>
    </row>
    <row r="83" spans="1:10" ht="15" customHeight="1">
      <c r="A83" s="6" t="s">
        <v>428</v>
      </c>
      <c r="B83" s="7" t="s">
        <v>429</v>
      </c>
      <c r="C83" s="7" t="s">
        <v>405</v>
      </c>
      <c r="D83" s="20">
        <v>71038</v>
      </c>
      <c r="E83" s="22">
        <v>0.57010000000000005</v>
      </c>
      <c r="F83" s="22">
        <v>0.31359999999999999</v>
      </c>
      <c r="G83" s="23">
        <v>11.6</v>
      </c>
      <c r="H83" s="24">
        <v>545</v>
      </c>
      <c r="I83" s="25">
        <v>824.1</v>
      </c>
      <c r="J83" s="24">
        <v>22274</v>
      </c>
    </row>
    <row r="84" spans="1:10" ht="15" customHeight="1">
      <c r="A84" s="6" t="s">
        <v>430</v>
      </c>
      <c r="B84" s="7" t="s">
        <v>431</v>
      </c>
      <c r="C84" s="7" t="s">
        <v>405</v>
      </c>
      <c r="D84" s="20">
        <v>71038</v>
      </c>
      <c r="E84" s="22">
        <v>0.59519999999999995</v>
      </c>
      <c r="F84" s="22">
        <v>0.32740000000000002</v>
      </c>
      <c r="G84" s="23">
        <v>12.1</v>
      </c>
      <c r="H84" s="24">
        <v>569</v>
      </c>
      <c r="I84" s="25">
        <v>860.4</v>
      </c>
      <c r="J84" s="24">
        <v>23255</v>
      </c>
    </row>
    <row r="85" spans="1:10" ht="15" customHeight="1">
      <c r="A85" s="6" t="s">
        <v>432</v>
      </c>
      <c r="B85" s="7" t="s">
        <v>433</v>
      </c>
      <c r="C85" s="7" t="s">
        <v>405</v>
      </c>
      <c r="D85" s="20">
        <v>71038</v>
      </c>
      <c r="E85" s="22">
        <v>0.58030000000000004</v>
      </c>
      <c r="F85" s="22">
        <v>0.31919999999999998</v>
      </c>
      <c r="G85" s="23">
        <v>11.8</v>
      </c>
      <c r="H85" s="24">
        <v>555</v>
      </c>
      <c r="I85" s="25">
        <v>838.9</v>
      </c>
      <c r="J85" s="24">
        <v>22673</v>
      </c>
    </row>
    <row r="86" spans="1:10" ht="15" customHeight="1">
      <c r="A86" s="6" t="s">
        <v>434</v>
      </c>
      <c r="B86" s="7" t="s">
        <v>435</v>
      </c>
      <c r="C86" s="7" t="s">
        <v>405</v>
      </c>
      <c r="D86" s="20">
        <v>71038</v>
      </c>
      <c r="E86" s="22">
        <v>0.55400000000000005</v>
      </c>
      <c r="F86" s="22">
        <v>0.30470000000000003</v>
      </c>
      <c r="G86" s="23">
        <v>11.3</v>
      </c>
      <c r="H86" s="24">
        <v>530</v>
      </c>
      <c r="I86" s="25">
        <v>800.9</v>
      </c>
      <c r="J86" s="24">
        <v>21645</v>
      </c>
    </row>
    <row r="87" spans="1:10" ht="15" customHeight="1">
      <c r="A87" s="6" t="s">
        <v>436</v>
      </c>
      <c r="B87" s="7" t="s">
        <v>437</v>
      </c>
      <c r="C87" s="7" t="s">
        <v>405</v>
      </c>
      <c r="D87" s="20">
        <v>71038</v>
      </c>
      <c r="E87" s="22">
        <v>0.57389999999999997</v>
      </c>
      <c r="F87" s="22">
        <v>0.31559999999999999</v>
      </c>
      <c r="G87" s="23">
        <v>11.7</v>
      </c>
      <c r="H87" s="24">
        <v>549</v>
      </c>
      <c r="I87" s="25">
        <v>829.6</v>
      </c>
      <c r="J87" s="24">
        <v>22423</v>
      </c>
    </row>
    <row r="88" spans="1:10" ht="15" customHeight="1">
      <c r="A88" s="6" t="s">
        <v>438</v>
      </c>
      <c r="B88" s="7" t="s">
        <v>439</v>
      </c>
      <c r="C88" s="7" t="s">
        <v>405</v>
      </c>
      <c r="D88" s="20">
        <v>71038</v>
      </c>
      <c r="E88" s="22">
        <v>0.55530000000000002</v>
      </c>
      <c r="F88" s="22">
        <v>0.3054</v>
      </c>
      <c r="G88" s="23">
        <v>11.3</v>
      </c>
      <c r="H88" s="24">
        <v>531</v>
      </c>
      <c r="I88" s="25">
        <v>802.8</v>
      </c>
      <c r="J88" s="24">
        <v>21696</v>
      </c>
    </row>
    <row r="89" spans="1:10" ht="15" customHeight="1">
      <c r="A89" s="6" t="s">
        <v>440</v>
      </c>
      <c r="B89" s="7" t="s">
        <v>441</v>
      </c>
      <c r="C89" s="7" t="s">
        <v>405</v>
      </c>
      <c r="D89" s="20">
        <v>71038</v>
      </c>
      <c r="E89" s="22">
        <v>0.66069999999999995</v>
      </c>
      <c r="F89" s="22">
        <v>0.3634</v>
      </c>
      <c r="G89" s="23">
        <v>13.4</v>
      </c>
      <c r="H89" s="24">
        <v>632</v>
      </c>
      <c r="I89" s="25">
        <v>955.1</v>
      </c>
      <c r="J89" s="24">
        <v>25814</v>
      </c>
    </row>
    <row r="90" spans="1:10" ht="15" customHeight="1">
      <c r="A90" s="6" t="s">
        <v>442</v>
      </c>
      <c r="B90" s="7" t="s">
        <v>443</v>
      </c>
      <c r="C90" s="7" t="s">
        <v>405</v>
      </c>
      <c r="D90" s="20">
        <v>71038</v>
      </c>
      <c r="E90" s="22">
        <v>0.61229999999999996</v>
      </c>
      <c r="F90" s="22">
        <v>0.33679999999999999</v>
      </c>
      <c r="G90" s="23">
        <v>12.5</v>
      </c>
      <c r="H90" s="24">
        <v>586</v>
      </c>
      <c r="I90" s="25">
        <v>885.2</v>
      </c>
      <c r="J90" s="24">
        <v>23923</v>
      </c>
    </row>
    <row r="91" spans="1:10" ht="15" customHeight="1">
      <c r="A91" s="6" t="s">
        <v>444</v>
      </c>
      <c r="B91" s="7" t="s">
        <v>445</v>
      </c>
      <c r="C91" s="7" t="s">
        <v>405</v>
      </c>
      <c r="D91" s="20">
        <v>71038</v>
      </c>
      <c r="E91" s="22">
        <v>0.56179999999999997</v>
      </c>
      <c r="F91" s="22">
        <v>0.309</v>
      </c>
      <c r="G91" s="23">
        <v>11.4</v>
      </c>
      <c r="H91" s="24">
        <v>537</v>
      </c>
      <c r="I91" s="25">
        <v>812.2</v>
      </c>
      <c r="J91" s="24">
        <v>21950</v>
      </c>
    </row>
    <row r="92" spans="1:10" ht="15" customHeight="1">
      <c r="A92" s="6" t="s">
        <v>446</v>
      </c>
      <c r="B92" s="7" t="s">
        <v>447</v>
      </c>
      <c r="C92" s="7" t="s">
        <v>405</v>
      </c>
      <c r="D92" s="20">
        <v>71038</v>
      </c>
      <c r="E92" s="22">
        <v>0.52270000000000005</v>
      </c>
      <c r="F92" s="22">
        <v>0.28749999999999998</v>
      </c>
      <c r="G92" s="23">
        <v>10.6</v>
      </c>
      <c r="H92" s="24">
        <v>500</v>
      </c>
      <c r="I92" s="25">
        <v>755.6</v>
      </c>
      <c r="J92" s="24">
        <v>20422</v>
      </c>
    </row>
    <row r="93" spans="1:10" ht="15" customHeight="1">
      <c r="A93" s="6" t="s">
        <v>448</v>
      </c>
      <c r="B93" s="7" t="s">
        <v>449</v>
      </c>
      <c r="C93" s="7" t="s">
        <v>405</v>
      </c>
      <c r="D93" s="20">
        <v>71038</v>
      </c>
      <c r="E93" s="22">
        <v>0.71499999999999997</v>
      </c>
      <c r="F93" s="22">
        <v>0.39319999999999999</v>
      </c>
      <c r="G93" s="23">
        <v>14.6</v>
      </c>
      <c r="H93" s="24">
        <v>684</v>
      </c>
      <c r="I93" s="25">
        <v>1033.5999999999999</v>
      </c>
      <c r="J93" s="24">
        <v>27936</v>
      </c>
    </row>
    <row r="94" spans="1:10" ht="15" customHeight="1">
      <c r="A94" s="6" t="s">
        <v>450</v>
      </c>
      <c r="B94" s="7" t="s">
        <v>451</v>
      </c>
      <c r="C94" s="7" t="s">
        <v>405</v>
      </c>
      <c r="D94" s="20">
        <v>71038</v>
      </c>
      <c r="E94" s="22">
        <v>0.71240000000000003</v>
      </c>
      <c r="F94" s="22">
        <v>0.39179999999999998</v>
      </c>
      <c r="G94" s="23">
        <v>14.5</v>
      </c>
      <c r="H94" s="24">
        <v>681</v>
      </c>
      <c r="I94" s="25">
        <v>1029.9000000000001</v>
      </c>
      <c r="J94" s="24">
        <v>27834</v>
      </c>
    </row>
    <row r="95" spans="1:10" ht="15" customHeight="1">
      <c r="A95" s="6" t="s">
        <v>452</v>
      </c>
      <c r="B95" s="7" t="s">
        <v>453</v>
      </c>
      <c r="C95" s="7" t="s">
        <v>405</v>
      </c>
      <c r="D95" s="20">
        <v>71038</v>
      </c>
      <c r="E95" s="22">
        <v>0.51819999999999999</v>
      </c>
      <c r="F95" s="22">
        <v>0.28499999999999998</v>
      </c>
      <c r="G95" s="23">
        <v>10.5</v>
      </c>
      <c r="H95" s="24">
        <v>496</v>
      </c>
      <c r="I95" s="25">
        <v>749.1</v>
      </c>
      <c r="J95" s="24">
        <v>20247</v>
      </c>
    </row>
    <row r="96" spans="1:10" ht="15" customHeight="1">
      <c r="A96" s="6" t="s">
        <v>454</v>
      </c>
      <c r="B96" s="7" t="s">
        <v>455</v>
      </c>
      <c r="C96" s="7" t="s">
        <v>405</v>
      </c>
      <c r="D96" s="20">
        <v>71038</v>
      </c>
      <c r="E96" s="22">
        <v>0.58330000000000004</v>
      </c>
      <c r="F96" s="22">
        <v>0.32079999999999997</v>
      </c>
      <c r="G96" s="23">
        <v>11.9</v>
      </c>
      <c r="H96" s="24">
        <v>558</v>
      </c>
      <c r="I96" s="25">
        <v>843.2</v>
      </c>
      <c r="J96" s="24">
        <v>22790</v>
      </c>
    </row>
    <row r="97" spans="1:10" ht="15" customHeight="1">
      <c r="A97" s="6" t="s">
        <v>456</v>
      </c>
      <c r="B97" s="7" t="s">
        <v>457</v>
      </c>
      <c r="C97" s="7" t="s">
        <v>458</v>
      </c>
      <c r="D97" s="20">
        <v>155636</v>
      </c>
      <c r="E97" s="22">
        <v>0.74680000000000002</v>
      </c>
      <c r="F97" s="22">
        <v>0.43309999999999998</v>
      </c>
      <c r="G97" s="23">
        <v>16</v>
      </c>
      <c r="H97" s="24">
        <v>753</v>
      </c>
      <c r="I97" s="25">
        <v>2494.3000000000002</v>
      </c>
      <c r="J97" s="24">
        <v>67413</v>
      </c>
    </row>
    <row r="98" spans="1:10" ht="15" customHeight="1">
      <c r="A98" s="6" t="s">
        <v>459</v>
      </c>
      <c r="B98" s="7" t="s">
        <v>460</v>
      </c>
      <c r="C98" s="7" t="s">
        <v>458</v>
      </c>
      <c r="D98" s="20">
        <v>155636</v>
      </c>
      <c r="E98" s="22">
        <v>0.69499999999999995</v>
      </c>
      <c r="F98" s="22">
        <v>0.40310000000000001</v>
      </c>
      <c r="G98" s="23">
        <v>14.9</v>
      </c>
      <c r="H98" s="24">
        <v>701</v>
      </c>
      <c r="I98" s="25">
        <v>2321.3000000000002</v>
      </c>
      <c r="J98" s="24">
        <v>62737</v>
      </c>
    </row>
    <row r="99" spans="1:10" ht="15" customHeight="1">
      <c r="A99" s="6" t="s">
        <v>461</v>
      </c>
      <c r="B99" s="7" t="s">
        <v>462</v>
      </c>
      <c r="C99" s="7" t="s">
        <v>458</v>
      </c>
      <c r="D99" s="20">
        <v>155636</v>
      </c>
      <c r="E99" s="22">
        <v>0.69069999999999998</v>
      </c>
      <c r="F99" s="22">
        <v>0.40060000000000001</v>
      </c>
      <c r="G99" s="23">
        <v>14.8</v>
      </c>
      <c r="H99" s="24">
        <v>697</v>
      </c>
      <c r="I99" s="25">
        <v>2306.9</v>
      </c>
      <c r="J99" s="24">
        <v>62349</v>
      </c>
    </row>
    <row r="100" spans="1:10" ht="15" customHeight="1">
      <c r="A100" s="6" t="s">
        <v>463</v>
      </c>
      <c r="B100" s="7" t="s">
        <v>464</v>
      </c>
      <c r="C100" s="7" t="s">
        <v>458</v>
      </c>
      <c r="D100" s="20">
        <v>155636</v>
      </c>
      <c r="E100" s="22">
        <v>0.68049999999999999</v>
      </c>
      <c r="F100" s="22">
        <v>0.3947</v>
      </c>
      <c r="G100" s="23">
        <v>14.6</v>
      </c>
      <c r="H100" s="24">
        <v>686</v>
      </c>
      <c r="I100" s="25">
        <v>2272.8000000000002</v>
      </c>
      <c r="J100" s="24">
        <v>61428</v>
      </c>
    </row>
    <row r="101" spans="1:10" ht="15" customHeight="1">
      <c r="A101" s="6" t="s">
        <v>465</v>
      </c>
      <c r="B101" s="7" t="s">
        <v>466</v>
      </c>
      <c r="C101" s="7" t="s">
        <v>458</v>
      </c>
      <c r="D101" s="20">
        <v>155636</v>
      </c>
      <c r="E101" s="22">
        <v>0.60350000000000004</v>
      </c>
      <c r="F101" s="22">
        <v>0.35</v>
      </c>
      <c r="G101" s="23">
        <v>13</v>
      </c>
      <c r="H101" s="24">
        <v>609</v>
      </c>
      <c r="I101" s="25">
        <v>2015.7</v>
      </c>
      <c r="J101" s="24">
        <v>54477</v>
      </c>
    </row>
    <row r="102" spans="1:10" ht="15" customHeight="1">
      <c r="A102" s="6" t="s">
        <v>467</v>
      </c>
      <c r="B102" s="7" t="s">
        <v>468</v>
      </c>
      <c r="C102" s="7" t="s">
        <v>458</v>
      </c>
      <c r="D102" s="20">
        <v>155636</v>
      </c>
      <c r="E102" s="22">
        <v>0.67200000000000004</v>
      </c>
      <c r="F102" s="22">
        <v>0.38979999999999998</v>
      </c>
      <c r="G102" s="23">
        <v>14.4</v>
      </c>
      <c r="H102" s="24">
        <v>678</v>
      </c>
      <c r="I102" s="25">
        <v>2244.4</v>
      </c>
      <c r="J102" s="24">
        <v>60661</v>
      </c>
    </row>
    <row r="103" spans="1:10" ht="15" customHeight="1">
      <c r="A103" s="6" t="s">
        <v>469</v>
      </c>
      <c r="B103" s="7" t="s">
        <v>470</v>
      </c>
      <c r="C103" s="7" t="s">
        <v>458</v>
      </c>
      <c r="D103" s="20">
        <v>155636</v>
      </c>
      <c r="E103" s="22">
        <v>0.7278</v>
      </c>
      <c r="F103" s="22">
        <v>0.42209999999999998</v>
      </c>
      <c r="G103" s="23">
        <v>15.6</v>
      </c>
      <c r="H103" s="24">
        <v>734</v>
      </c>
      <c r="I103" s="25">
        <v>2430.8000000000002</v>
      </c>
      <c r="J103" s="24">
        <v>65698</v>
      </c>
    </row>
    <row r="104" spans="1:10" ht="15" customHeight="1">
      <c r="A104" s="6" t="s">
        <v>471</v>
      </c>
      <c r="B104" s="7" t="s">
        <v>472</v>
      </c>
      <c r="C104" s="7" t="s">
        <v>458</v>
      </c>
      <c r="D104" s="20">
        <v>155636</v>
      </c>
      <c r="E104" s="22">
        <v>0.68340000000000001</v>
      </c>
      <c r="F104" s="22">
        <v>0.39639999999999997</v>
      </c>
      <c r="G104" s="23">
        <v>14.7</v>
      </c>
      <c r="H104" s="24">
        <v>689</v>
      </c>
      <c r="I104" s="25">
        <v>2282.5</v>
      </c>
      <c r="J104" s="24">
        <v>61690</v>
      </c>
    </row>
    <row r="105" spans="1:10" ht="15" customHeight="1">
      <c r="A105" s="6" t="s">
        <v>473</v>
      </c>
      <c r="B105" s="7" t="s">
        <v>474</v>
      </c>
      <c r="C105" s="7" t="s">
        <v>458</v>
      </c>
      <c r="D105" s="20">
        <v>155636</v>
      </c>
      <c r="E105" s="22">
        <v>0.62090000000000001</v>
      </c>
      <c r="F105" s="22">
        <v>0.36009999999999998</v>
      </c>
      <c r="G105" s="23">
        <v>13.3</v>
      </c>
      <c r="H105" s="24">
        <v>626</v>
      </c>
      <c r="I105" s="25">
        <v>2073.8000000000002</v>
      </c>
      <c r="J105" s="24">
        <v>56048</v>
      </c>
    </row>
    <row r="106" spans="1:10" ht="15" customHeight="1">
      <c r="A106" s="6" t="s">
        <v>475</v>
      </c>
      <c r="B106" s="7" t="s">
        <v>476</v>
      </c>
      <c r="C106" s="7" t="s">
        <v>458</v>
      </c>
      <c r="D106" s="20">
        <v>155636</v>
      </c>
      <c r="E106" s="22">
        <v>0.60819999999999996</v>
      </c>
      <c r="F106" s="22">
        <v>0.3528</v>
      </c>
      <c r="G106" s="23">
        <v>13.1</v>
      </c>
      <c r="H106" s="24">
        <v>613</v>
      </c>
      <c r="I106" s="25">
        <v>2031.4</v>
      </c>
      <c r="J106" s="24">
        <v>54902</v>
      </c>
    </row>
    <row r="107" spans="1:10" ht="15" customHeight="1">
      <c r="A107" s="6" t="s">
        <v>477</v>
      </c>
      <c r="B107" s="7" t="s">
        <v>478</v>
      </c>
      <c r="C107" s="7" t="s">
        <v>458</v>
      </c>
      <c r="D107" s="20">
        <v>155636</v>
      </c>
      <c r="E107" s="22">
        <v>0.66949999999999998</v>
      </c>
      <c r="F107" s="22">
        <v>0.38829999999999998</v>
      </c>
      <c r="G107" s="23">
        <v>14.4</v>
      </c>
      <c r="H107" s="24">
        <v>675</v>
      </c>
      <c r="I107" s="25">
        <v>2236.1</v>
      </c>
      <c r="J107" s="24">
        <v>60435</v>
      </c>
    </row>
    <row r="108" spans="1:10" ht="15" customHeight="1">
      <c r="A108" s="6" t="s">
        <v>479</v>
      </c>
      <c r="B108" s="7" t="s">
        <v>480</v>
      </c>
      <c r="C108" s="7" t="s">
        <v>481</v>
      </c>
      <c r="D108" s="20">
        <v>77065</v>
      </c>
      <c r="E108" s="22">
        <v>0.74960000000000004</v>
      </c>
      <c r="F108" s="22">
        <v>0.37480000000000002</v>
      </c>
      <c r="G108" s="23">
        <v>13.9</v>
      </c>
      <c r="H108" s="24">
        <v>652</v>
      </c>
      <c r="I108" s="25">
        <v>1068.7</v>
      </c>
      <c r="J108" s="24">
        <v>28884</v>
      </c>
    </row>
    <row r="109" spans="1:10" ht="15" customHeight="1">
      <c r="A109" s="6" t="s">
        <v>482</v>
      </c>
      <c r="B109" s="7" t="s">
        <v>483</v>
      </c>
      <c r="C109" s="7" t="s">
        <v>481</v>
      </c>
      <c r="D109" s="20">
        <v>77065</v>
      </c>
      <c r="E109" s="22">
        <v>0.75670000000000004</v>
      </c>
      <c r="F109" s="22">
        <v>0.37840000000000001</v>
      </c>
      <c r="G109" s="23">
        <v>14</v>
      </c>
      <c r="H109" s="24">
        <v>658</v>
      </c>
      <c r="I109" s="25">
        <v>1078.8</v>
      </c>
      <c r="J109" s="24">
        <v>29158</v>
      </c>
    </row>
    <row r="110" spans="1:10" ht="15" customHeight="1">
      <c r="A110" s="6" t="s">
        <v>484</v>
      </c>
      <c r="B110" s="7" t="s">
        <v>485</v>
      </c>
      <c r="C110" s="7" t="s">
        <v>481</v>
      </c>
      <c r="D110" s="20">
        <v>77065</v>
      </c>
      <c r="E110" s="22">
        <v>0.74519999999999997</v>
      </c>
      <c r="F110" s="22">
        <v>0.37259999999999999</v>
      </c>
      <c r="G110" s="23">
        <v>13.8</v>
      </c>
      <c r="H110" s="24">
        <v>648</v>
      </c>
      <c r="I110" s="25">
        <v>1062.4000000000001</v>
      </c>
      <c r="J110" s="24">
        <v>28714</v>
      </c>
    </row>
    <row r="111" spans="1:10" ht="15" customHeight="1">
      <c r="A111" s="6" t="s">
        <v>486</v>
      </c>
      <c r="B111" s="7" t="s">
        <v>487</v>
      </c>
      <c r="C111" s="7" t="s">
        <v>481</v>
      </c>
      <c r="D111" s="20">
        <v>77065</v>
      </c>
      <c r="E111" s="22">
        <v>0.746</v>
      </c>
      <c r="F111" s="22">
        <v>0.373</v>
      </c>
      <c r="G111" s="23">
        <v>13.8</v>
      </c>
      <c r="H111" s="24">
        <v>649</v>
      </c>
      <c r="I111" s="25">
        <v>1063.5999999999999</v>
      </c>
      <c r="J111" s="24">
        <v>28745</v>
      </c>
    </row>
    <row r="112" spans="1:10" ht="15" customHeight="1">
      <c r="A112" s="6" t="s">
        <v>488</v>
      </c>
      <c r="B112" s="7" t="s">
        <v>489</v>
      </c>
      <c r="C112" s="7" t="s">
        <v>481</v>
      </c>
      <c r="D112" s="20">
        <v>77065</v>
      </c>
      <c r="E112" s="22">
        <v>0.77839999999999998</v>
      </c>
      <c r="F112" s="22">
        <v>0.38919999999999999</v>
      </c>
      <c r="G112" s="23">
        <v>14.4</v>
      </c>
      <c r="H112" s="24">
        <v>677</v>
      </c>
      <c r="I112" s="25">
        <v>1109.8</v>
      </c>
      <c r="J112" s="24">
        <v>29994</v>
      </c>
    </row>
    <row r="113" spans="1:10" ht="15" customHeight="1">
      <c r="A113" s="6" t="s">
        <v>490</v>
      </c>
      <c r="B113" s="7" t="s">
        <v>491</v>
      </c>
      <c r="C113" s="7" t="s">
        <v>481</v>
      </c>
      <c r="D113" s="20">
        <v>77065</v>
      </c>
      <c r="E113" s="22">
        <v>0.77669999999999995</v>
      </c>
      <c r="F113" s="22">
        <v>0.38840000000000002</v>
      </c>
      <c r="G113" s="23">
        <v>14.4</v>
      </c>
      <c r="H113" s="24">
        <v>675</v>
      </c>
      <c r="I113" s="25">
        <v>1107.3</v>
      </c>
      <c r="J113" s="24">
        <v>29928</v>
      </c>
    </row>
    <row r="114" spans="1:10" ht="15" customHeight="1">
      <c r="A114" s="6" t="s">
        <v>492</v>
      </c>
      <c r="B114" s="7" t="s">
        <v>493</v>
      </c>
      <c r="C114" s="7" t="s">
        <v>481</v>
      </c>
      <c r="D114" s="20">
        <v>77065</v>
      </c>
      <c r="E114" s="22">
        <v>0.75439999999999996</v>
      </c>
      <c r="F114" s="22">
        <v>0.37719999999999998</v>
      </c>
      <c r="G114" s="23">
        <v>14</v>
      </c>
      <c r="H114" s="24">
        <v>656</v>
      </c>
      <c r="I114" s="25">
        <v>1075.5</v>
      </c>
      <c r="J114" s="24">
        <v>29069</v>
      </c>
    </row>
    <row r="115" spans="1:10" ht="15" customHeight="1">
      <c r="A115" s="6" t="s">
        <v>494</v>
      </c>
      <c r="B115" s="7" t="s">
        <v>495</v>
      </c>
      <c r="C115" s="7" t="s">
        <v>481</v>
      </c>
      <c r="D115" s="20">
        <v>77065</v>
      </c>
      <c r="E115" s="22">
        <v>0.69550000000000001</v>
      </c>
      <c r="F115" s="22">
        <v>0.3478</v>
      </c>
      <c r="G115" s="23">
        <v>12.9</v>
      </c>
      <c r="H115" s="24">
        <v>605</v>
      </c>
      <c r="I115" s="25">
        <v>991.6</v>
      </c>
      <c r="J115" s="24">
        <v>26799</v>
      </c>
    </row>
    <row r="116" spans="1:10" ht="15" customHeight="1">
      <c r="A116" s="6" t="s">
        <v>496</v>
      </c>
      <c r="B116" s="7" t="s">
        <v>497</v>
      </c>
      <c r="C116" s="7" t="s">
        <v>481</v>
      </c>
      <c r="D116" s="20">
        <v>77065</v>
      </c>
      <c r="E116" s="22">
        <v>0.71260000000000001</v>
      </c>
      <c r="F116" s="22">
        <v>0.35630000000000001</v>
      </c>
      <c r="G116" s="23">
        <v>13.2</v>
      </c>
      <c r="H116" s="24">
        <v>620</v>
      </c>
      <c r="I116" s="25">
        <v>1016</v>
      </c>
      <c r="J116" s="24">
        <v>27458</v>
      </c>
    </row>
    <row r="117" spans="1:10" ht="15" customHeight="1">
      <c r="A117" s="6" t="s">
        <v>498</v>
      </c>
      <c r="B117" s="7" t="s">
        <v>499</v>
      </c>
      <c r="C117" s="7" t="s">
        <v>481</v>
      </c>
      <c r="D117" s="20">
        <v>77065</v>
      </c>
      <c r="E117" s="22">
        <v>0.69430000000000003</v>
      </c>
      <c r="F117" s="22">
        <v>0.34710000000000002</v>
      </c>
      <c r="G117" s="23">
        <v>12.8</v>
      </c>
      <c r="H117" s="24">
        <v>604</v>
      </c>
      <c r="I117" s="25">
        <v>989.9</v>
      </c>
      <c r="J117" s="24">
        <v>26753</v>
      </c>
    </row>
    <row r="118" spans="1:10" ht="15" customHeight="1">
      <c r="A118" s="6" t="s">
        <v>500</v>
      </c>
      <c r="B118" s="7" t="s">
        <v>501</v>
      </c>
      <c r="C118" s="7" t="s">
        <v>481</v>
      </c>
      <c r="D118" s="20">
        <v>77065</v>
      </c>
      <c r="E118" s="22">
        <v>0.70950000000000002</v>
      </c>
      <c r="F118" s="22">
        <v>0.3548</v>
      </c>
      <c r="G118" s="23">
        <v>13.1</v>
      </c>
      <c r="H118" s="24">
        <v>617</v>
      </c>
      <c r="I118" s="25">
        <v>1011.5</v>
      </c>
      <c r="J118" s="24">
        <v>27339</v>
      </c>
    </row>
    <row r="119" spans="1:10" ht="15" customHeight="1">
      <c r="A119" s="6" t="s">
        <v>502</v>
      </c>
      <c r="B119" s="7" t="s">
        <v>503</v>
      </c>
      <c r="C119" s="7" t="s">
        <v>481</v>
      </c>
      <c r="D119" s="20">
        <v>77065</v>
      </c>
      <c r="E119" s="22">
        <v>0.78239999999999998</v>
      </c>
      <c r="F119" s="22">
        <v>0.39119999999999999</v>
      </c>
      <c r="G119" s="23">
        <v>14.5</v>
      </c>
      <c r="H119" s="24">
        <v>680</v>
      </c>
      <c r="I119" s="25">
        <v>1115.5</v>
      </c>
      <c r="J119" s="24">
        <v>30148</v>
      </c>
    </row>
    <row r="120" spans="1:10" ht="15" customHeight="1">
      <c r="A120" s="6" t="s">
        <v>504</v>
      </c>
      <c r="B120" s="7" t="s">
        <v>505</v>
      </c>
      <c r="C120" s="7" t="s">
        <v>481</v>
      </c>
      <c r="D120" s="20">
        <v>77065</v>
      </c>
      <c r="E120" s="22">
        <v>0.6774</v>
      </c>
      <c r="F120" s="22">
        <v>0.3387</v>
      </c>
      <c r="G120" s="23">
        <v>12.5</v>
      </c>
      <c r="H120" s="24">
        <v>589</v>
      </c>
      <c r="I120" s="25">
        <v>965.8</v>
      </c>
      <c r="J120" s="24">
        <v>26102</v>
      </c>
    </row>
    <row r="121" spans="1:10" ht="15" customHeight="1">
      <c r="A121" s="6" t="s">
        <v>506</v>
      </c>
      <c r="B121" s="7" t="s">
        <v>507</v>
      </c>
      <c r="C121" s="7" t="s">
        <v>481</v>
      </c>
      <c r="D121" s="20">
        <v>77065</v>
      </c>
      <c r="E121" s="22">
        <v>0.70009999999999994</v>
      </c>
      <c r="F121" s="22">
        <v>0.35010000000000002</v>
      </c>
      <c r="G121" s="23">
        <v>13</v>
      </c>
      <c r="H121" s="24">
        <v>609</v>
      </c>
      <c r="I121" s="25">
        <v>998.1</v>
      </c>
      <c r="J121" s="24">
        <v>26977</v>
      </c>
    </row>
    <row r="122" spans="1:10" ht="15" customHeight="1">
      <c r="A122" s="6" t="s">
        <v>508</v>
      </c>
      <c r="B122" s="7" t="s">
        <v>495</v>
      </c>
      <c r="C122" s="7" t="s">
        <v>481</v>
      </c>
      <c r="D122" s="20">
        <v>77065</v>
      </c>
      <c r="E122" s="22">
        <v>0.69550000000000001</v>
      </c>
      <c r="F122" s="22">
        <v>0.3478</v>
      </c>
      <c r="G122" s="23">
        <v>12.9</v>
      </c>
      <c r="H122" s="24">
        <v>605</v>
      </c>
      <c r="I122" s="25">
        <v>991.6</v>
      </c>
      <c r="J122" s="24">
        <v>26799</v>
      </c>
    </row>
    <row r="123" spans="1:10" ht="15" customHeight="1">
      <c r="A123" s="6" t="s">
        <v>509</v>
      </c>
      <c r="B123" s="7" t="s">
        <v>510</v>
      </c>
      <c r="C123" s="7" t="s">
        <v>481</v>
      </c>
      <c r="D123" s="20">
        <v>77065</v>
      </c>
      <c r="E123" s="22">
        <v>0.754</v>
      </c>
      <c r="F123" s="22">
        <v>0.377</v>
      </c>
      <c r="G123" s="23">
        <v>13.9</v>
      </c>
      <c r="H123" s="24">
        <v>656</v>
      </c>
      <c r="I123" s="25">
        <v>1075</v>
      </c>
      <c r="J123" s="24">
        <v>29054</v>
      </c>
    </row>
    <row r="124" spans="1:10" ht="15" customHeight="1">
      <c r="A124" s="6" t="s">
        <v>511</v>
      </c>
      <c r="B124" s="7" t="s">
        <v>512</v>
      </c>
      <c r="C124" s="7" t="s">
        <v>481</v>
      </c>
      <c r="D124" s="20">
        <v>77065</v>
      </c>
      <c r="E124" s="22">
        <v>0.71919999999999995</v>
      </c>
      <c r="F124" s="22">
        <v>0.35959999999999998</v>
      </c>
      <c r="G124" s="23">
        <v>13.3</v>
      </c>
      <c r="H124" s="24">
        <v>625</v>
      </c>
      <c r="I124" s="25">
        <v>1025.4000000000001</v>
      </c>
      <c r="J124" s="24">
        <v>27713</v>
      </c>
    </row>
    <row r="125" spans="1:10" ht="15" customHeight="1">
      <c r="A125" s="6" t="s">
        <v>513</v>
      </c>
      <c r="B125" s="7" t="s">
        <v>514</v>
      </c>
      <c r="C125" s="7" t="s">
        <v>481</v>
      </c>
      <c r="D125" s="20">
        <v>77065</v>
      </c>
      <c r="E125" s="22">
        <v>0.75880000000000003</v>
      </c>
      <c r="F125" s="22">
        <v>0.37940000000000002</v>
      </c>
      <c r="G125" s="23">
        <v>14</v>
      </c>
      <c r="H125" s="24">
        <v>660</v>
      </c>
      <c r="I125" s="25">
        <v>1081.8</v>
      </c>
      <c r="J125" s="24">
        <v>29238</v>
      </c>
    </row>
    <row r="126" spans="1:10" ht="15" customHeight="1">
      <c r="A126" s="6" t="s">
        <v>515</v>
      </c>
      <c r="B126" s="7" t="s">
        <v>516</v>
      </c>
      <c r="C126" s="7" t="s">
        <v>481</v>
      </c>
      <c r="D126" s="20">
        <v>77065</v>
      </c>
      <c r="E126" s="22">
        <v>0.70540000000000003</v>
      </c>
      <c r="F126" s="22">
        <v>0.35270000000000001</v>
      </c>
      <c r="G126" s="23">
        <v>13</v>
      </c>
      <c r="H126" s="24">
        <v>613</v>
      </c>
      <c r="I126" s="25">
        <v>1005.7</v>
      </c>
      <c r="J126" s="24">
        <v>27181</v>
      </c>
    </row>
    <row r="127" spans="1:10" ht="15" customHeight="1">
      <c r="A127" s="6" t="s">
        <v>517</v>
      </c>
      <c r="B127" s="7" t="s">
        <v>518</v>
      </c>
      <c r="C127" s="7" t="s">
        <v>481</v>
      </c>
      <c r="D127" s="20">
        <v>77065</v>
      </c>
      <c r="E127" s="22">
        <v>0.63819999999999999</v>
      </c>
      <c r="F127" s="22">
        <v>0.31909999999999999</v>
      </c>
      <c r="G127" s="23">
        <v>11.8</v>
      </c>
      <c r="H127" s="24">
        <v>555</v>
      </c>
      <c r="I127" s="25">
        <v>909.9</v>
      </c>
      <c r="J127" s="24">
        <v>24591</v>
      </c>
    </row>
    <row r="128" spans="1:10" ht="15" customHeight="1">
      <c r="A128" s="6" t="s">
        <v>519</v>
      </c>
      <c r="B128" s="7" t="s">
        <v>520</v>
      </c>
      <c r="C128" s="7" t="s">
        <v>481</v>
      </c>
      <c r="D128" s="20">
        <v>77065</v>
      </c>
      <c r="E128" s="22">
        <v>0.6401</v>
      </c>
      <c r="F128" s="22">
        <v>0.3201</v>
      </c>
      <c r="G128" s="23">
        <v>11.8</v>
      </c>
      <c r="H128" s="24">
        <v>557</v>
      </c>
      <c r="I128" s="25">
        <v>912.6</v>
      </c>
      <c r="J128" s="24">
        <v>24665</v>
      </c>
    </row>
    <row r="129" spans="1:10" ht="15" customHeight="1">
      <c r="A129" s="6" t="s">
        <v>521</v>
      </c>
      <c r="B129" s="7" t="s">
        <v>522</v>
      </c>
      <c r="C129" s="7" t="s">
        <v>481</v>
      </c>
      <c r="D129" s="20">
        <v>77065</v>
      </c>
      <c r="E129" s="22">
        <v>0.63749999999999996</v>
      </c>
      <c r="F129" s="22">
        <v>0.31869999999999998</v>
      </c>
      <c r="G129" s="23">
        <v>11.8</v>
      </c>
      <c r="H129" s="24">
        <v>554</v>
      </c>
      <c r="I129" s="25">
        <v>908.9</v>
      </c>
      <c r="J129" s="24">
        <v>24564</v>
      </c>
    </row>
    <row r="130" spans="1:10" ht="15" customHeight="1">
      <c r="A130" s="6" t="s">
        <v>523</v>
      </c>
      <c r="B130" s="7" t="s">
        <v>524</v>
      </c>
      <c r="C130" s="7" t="s">
        <v>481</v>
      </c>
      <c r="D130" s="20">
        <v>77065</v>
      </c>
      <c r="E130" s="22">
        <v>0.61890000000000001</v>
      </c>
      <c r="F130" s="22">
        <v>0.3095</v>
      </c>
      <c r="G130" s="23">
        <v>11.4</v>
      </c>
      <c r="H130" s="24">
        <v>538</v>
      </c>
      <c r="I130" s="25">
        <v>882.4</v>
      </c>
      <c r="J130" s="24">
        <v>23848</v>
      </c>
    </row>
    <row r="131" spans="1:10" ht="15" customHeight="1">
      <c r="A131" s="6" t="s">
        <v>525</v>
      </c>
      <c r="B131" s="7" t="s">
        <v>526</v>
      </c>
      <c r="C131" s="7" t="s">
        <v>481</v>
      </c>
      <c r="D131" s="20">
        <v>77065</v>
      </c>
      <c r="E131" s="22">
        <v>0.63180000000000003</v>
      </c>
      <c r="F131" s="22">
        <v>0.31590000000000001</v>
      </c>
      <c r="G131" s="23">
        <v>11.7</v>
      </c>
      <c r="H131" s="24">
        <v>549</v>
      </c>
      <c r="I131" s="25">
        <v>900.8</v>
      </c>
      <c r="J131" s="24">
        <v>24345</v>
      </c>
    </row>
    <row r="132" spans="1:10" ht="15" customHeight="1">
      <c r="A132" s="6" t="s">
        <v>527</v>
      </c>
      <c r="B132" s="7" t="s">
        <v>528</v>
      </c>
      <c r="C132" s="7" t="s">
        <v>481</v>
      </c>
      <c r="D132" s="20">
        <v>77065</v>
      </c>
      <c r="E132" s="22">
        <v>0.6704</v>
      </c>
      <c r="F132" s="22">
        <v>0.3352</v>
      </c>
      <c r="G132" s="23">
        <v>12.4</v>
      </c>
      <c r="H132" s="24">
        <v>583</v>
      </c>
      <c r="I132" s="25">
        <v>955.8</v>
      </c>
      <c r="J132" s="24">
        <v>25832</v>
      </c>
    </row>
    <row r="133" spans="1:10" ht="15" customHeight="1">
      <c r="A133" s="6" t="s">
        <v>529</v>
      </c>
      <c r="B133" s="7" t="s">
        <v>530</v>
      </c>
      <c r="C133" s="7" t="s">
        <v>481</v>
      </c>
      <c r="D133" s="20">
        <v>77065</v>
      </c>
      <c r="E133" s="22">
        <v>0.6512</v>
      </c>
      <c r="F133" s="22">
        <v>0.3256</v>
      </c>
      <c r="G133" s="23">
        <v>12</v>
      </c>
      <c r="H133" s="24">
        <v>566</v>
      </c>
      <c r="I133" s="25">
        <v>928.4</v>
      </c>
      <c r="J133" s="24">
        <v>25092</v>
      </c>
    </row>
    <row r="134" spans="1:10" ht="15" customHeight="1">
      <c r="A134" s="6" t="s">
        <v>531</v>
      </c>
      <c r="B134" s="7" t="s">
        <v>532</v>
      </c>
      <c r="C134" s="7" t="s">
        <v>481</v>
      </c>
      <c r="D134" s="20">
        <v>77065</v>
      </c>
      <c r="E134" s="22">
        <v>0.75119999999999998</v>
      </c>
      <c r="F134" s="22">
        <v>0.37559999999999999</v>
      </c>
      <c r="G134" s="23">
        <v>13.9</v>
      </c>
      <c r="H134" s="24">
        <v>653</v>
      </c>
      <c r="I134" s="25">
        <v>1071</v>
      </c>
      <c r="J134" s="24">
        <v>28946</v>
      </c>
    </row>
    <row r="135" spans="1:10" ht="15" customHeight="1">
      <c r="A135" s="6" t="s">
        <v>533</v>
      </c>
      <c r="B135" s="7" t="s">
        <v>534</v>
      </c>
      <c r="C135" s="7" t="s">
        <v>481</v>
      </c>
      <c r="D135" s="20">
        <v>77065</v>
      </c>
      <c r="E135" s="22">
        <v>0.67100000000000004</v>
      </c>
      <c r="F135" s="22">
        <v>0.33550000000000002</v>
      </c>
      <c r="G135" s="23">
        <v>12.4</v>
      </c>
      <c r="H135" s="24">
        <v>583</v>
      </c>
      <c r="I135" s="25">
        <v>956.6</v>
      </c>
      <c r="J135" s="24">
        <v>25855</v>
      </c>
    </row>
    <row r="136" spans="1:10" ht="15" customHeight="1">
      <c r="A136" s="6" t="s">
        <v>535</v>
      </c>
      <c r="B136" s="7" t="s">
        <v>536</v>
      </c>
      <c r="C136" s="7" t="s">
        <v>481</v>
      </c>
      <c r="D136" s="20">
        <v>77065</v>
      </c>
      <c r="E136" s="22">
        <v>0.69679999999999997</v>
      </c>
      <c r="F136" s="22">
        <v>0.34839999999999999</v>
      </c>
      <c r="G136" s="23">
        <v>12.9</v>
      </c>
      <c r="H136" s="24">
        <v>606</v>
      </c>
      <c r="I136" s="25">
        <v>993.4</v>
      </c>
      <c r="J136" s="24">
        <v>26849</v>
      </c>
    </row>
    <row r="137" spans="1:10" ht="15" customHeight="1">
      <c r="A137" s="6" t="s">
        <v>537</v>
      </c>
      <c r="B137" s="7" t="s">
        <v>538</v>
      </c>
      <c r="C137" s="7" t="s">
        <v>481</v>
      </c>
      <c r="D137" s="20">
        <v>77065</v>
      </c>
      <c r="E137" s="22">
        <v>0.68149999999999999</v>
      </c>
      <c r="F137" s="22">
        <v>0.34079999999999999</v>
      </c>
      <c r="G137" s="23">
        <v>12.6</v>
      </c>
      <c r="H137" s="24">
        <v>593</v>
      </c>
      <c r="I137" s="25">
        <v>971.6</v>
      </c>
      <c r="J137" s="24">
        <v>26260</v>
      </c>
    </row>
    <row r="138" spans="1:10" ht="15" customHeight="1">
      <c r="A138" s="6" t="s">
        <v>539</v>
      </c>
      <c r="B138" s="7" t="s">
        <v>540</v>
      </c>
      <c r="C138" s="7" t="s">
        <v>481</v>
      </c>
      <c r="D138" s="20">
        <v>77065</v>
      </c>
      <c r="E138" s="22">
        <v>0.70760000000000001</v>
      </c>
      <c r="F138" s="22">
        <v>0.3538</v>
      </c>
      <c r="G138" s="23">
        <v>13.1</v>
      </c>
      <c r="H138" s="24">
        <v>615</v>
      </c>
      <c r="I138" s="25">
        <v>1008.8</v>
      </c>
      <c r="J138" s="24">
        <v>27266</v>
      </c>
    </row>
    <row r="139" spans="1:10" ht="15" customHeight="1">
      <c r="A139" s="6" t="s">
        <v>541</v>
      </c>
      <c r="B139" s="7" t="s">
        <v>542</v>
      </c>
      <c r="C139" s="7" t="s">
        <v>543</v>
      </c>
      <c r="D139" s="20">
        <v>57000</v>
      </c>
      <c r="E139" s="22">
        <v>0.63080000000000003</v>
      </c>
      <c r="F139" s="22">
        <v>0.31540000000000001</v>
      </c>
      <c r="G139" s="23">
        <v>11.7</v>
      </c>
      <c r="H139" s="24">
        <v>548</v>
      </c>
      <c r="I139" s="25">
        <v>665.2</v>
      </c>
      <c r="J139" s="24">
        <v>17978</v>
      </c>
    </row>
    <row r="140" spans="1:10" ht="15" customHeight="1">
      <c r="A140" s="6" t="s">
        <v>544</v>
      </c>
      <c r="B140" s="7" t="s">
        <v>545</v>
      </c>
      <c r="C140" s="7" t="s">
        <v>543</v>
      </c>
      <c r="D140" s="20">
        <v>57000</v>
      </c>
      <c r="E140" s="22">
        <v>0.57279999999999998</v>
      </c>
      <c r="F140" s="22">
        <v>0.28639999999999999</v>
      </c>
      <c r="G140" s="23">
        <v>10.6</v>
      </c>
      <c r="H140" s="24">
        <v>498</v>
      </c>
      <c r="I140" s="25">
        <v>604</v>
      </c>
      <c r="J140" s="24">
        <v>16325</v>
      </c>
    </row>
    <row r="141" spans="1:10" ht="15" customHeight="1">
      <c r="A141" s="6" t="s">
        <v>546</v>
      </c>
      <c r="B141" s="7" t="s">
        <v>547</v>
      </c>
      <c r="C141" s="7" t="s">
        <v>543</v>
      </c>
      <c r="D141" s="20">
        <v>57000</v>
      </c>
      <c r="E141" s="22">
        <v>0.57099999999999995</v>
      </c>
      <c r="F141" s="22">
        <v>0.28549999999999998</v>
      </c>
      <c r="G141" s="23">
        <v>10.6</v>
      </c>
      <c r="H141" s="24">
        <v>496</v>
      </c>
      <c r="I141" s="25">
        <v>602.1</v>
      </c>
      <c r="J141" s="24">
        <v>16274</v>
      </c>
    </row>
    <row r="142" spans="1:10" ht="15" customHeight="1">
      <c r="A142" s="6" t="s">
        <v>548</v>
      </c>
      <c r="B142" s="7" t="s">
        <v>549</v>
      </c>
      <c r="C142" s="7" t="s">
        <v>543</v>
      </c>
      <c r="D142" s="20">
        <v>57000</v>
      </c>
      <c r="E142" s="22">
        <v>0.57050000000000001</v>
      </c>
      <c r="F142" s="22">
        <v>0.2853</v>
      </c>
      <c r="G142" s="23">
        <v>10.6</v>
      </c>
      <c r="H142" s="24">
        <v>496</v>
      </c>
      <c r="I142" s="25">
        <v>601.6</v>
      </c>
      <c r="J142" s="24">
        <v>16259</v>
      </c>
    </row>
    <row r="143" spans="1:10" ht="15" customHeight="1">
      <c r="A143" s="6" t="s">
        <v>550</v>
      </c>
      <c r="B143" s="7" t="s">
        <v>551</v>
      </c>
      <c r="C143" s="7" t="s">
        <v>543</v>
      </c>
      <c r="D143" s="20">
        <v>57000</v>
      </c>
      <c r="E143" s="22">
        <v>0.68469999999999998</v>
      </c>
      <c r="F143" s="22">
        <v>0.34229999999999999</v>
      </c>
      <c r="G143" s="23">
        <v>12.7</v>
      </c>
      <c r="H143" s="24">
        <v>595</v>
      </c>
      <c r="I143" s="25">
        <v>722</v>
      </c>
      <c r="J143" s="24">
        <v>19514</v>
      </c>
    </row>
    <row r="144" spans="1:10" ht="15" customHeight="1">
      <c r="A144" s="6" t="s">
        <v>552</v>
      </c>
      <c r="B144" s="7" t="s">
        <v>553</v>
      </c>
      <c r="C144" s="7" t="s">
        <v>543</v>
      </c>
      <c r="D144" s="20">
        <v>57000</v>
      </c>
      <c r="E144" s="22">
        <v>0.61539999999999995</v>
      </c>
      <c r="F144" s="22">
        <v>0.30769999999999997</v>
      </c>
      <c r="G144" s="23">
        <v>11.4</v>
      </c>
      <c r="H144" s="24">
        <v>535</v>
      </c>
      <c r="I144" s="25">
        <v>648.9</v>
      </c>
      <c r="J144" s="24">
        <v>17539</v>
      </c>
    </row>
    <row r="145" spans="1:10" ht="15" customHeight="1">
      <c r="A145" s="6" t="s">
        <v>554</v>
      </c>
      <c r="B145" s="7" t="s">
        <v>555</v>
      </c>
      <c r="C145" s="7" t="s">
        <v>543</v>
      </c>
      <c r="D145" s="20">
        <v>57000</v>
      </c>
      <c r="E145" s="22">
        <v>0.57099999999999995</v>
      </c>
      <c r="F145" s="22">
        <v>0.28549999999999998</v>
      </c>
      <c r="G145" s="23">
        <v>10.6</v>
      </c>
      <c r="H145" s="24">
        <v>496</v>
      </c>
      <c r="I145" s="25">
        <v>602.1</v>
      </c>
      <c r="J145" s="24">
        <v>16274</v>
      </c>
    </row>
    <row r="146" spans="1:10" ht="15" customHeight="1">
      <c r="A146" s="6" t="s">
        <v>556</v>
      </c>
      <c r="B146" s="7" t="s">
        <v>557</v>
      </c>
      <c r="C146" s="7" t="s">
        <v>543</v>
      </c>
      <c r="D146" s="20">
        <v>57000</v>
      </c>
      <c r="E146" s="22">
        <v>0.67830000000000001</v>
      </c>
      <c r="F146" s="22">
        <v>0.3392</v>
      </c>
      <c r="G146" s="23">
        <v>12.5</v>
      </c>
      <c r="H146" s="24">
        <v>590</v>
      </c>
      <c r="I146" s="25">
        <v>715.3</v>
      </c>
      <c r="J146" s="24">
        <v>19332</v>
      </c>
    </row>
    <row r="147" spans="1:10" ht="15" customHeight="1">
      <c r="A147" s="6" t="s">
        <v>558</v>
      </c>
      <c r="B147" s="7" t="s">
        <v>559</v>
      </c>
      <c r="C147" s="7" t="s">
        <v>543</v>
      </c>
      <c r="D147" s="20">
        <v>57000</v>
      </c>
      <c r="E147" s="22">
        <v>0.6</v>
      </c>
      <c r="F147" s="22">
        <v>0.3</v>
      </c>
      <c r="G147" s="23">
        <v>11.1</v>
      </c>
      <c r="H147" s="24">
        <v>522</v>
      </c>
      <c r="I147" s="25">
        <v>632.70000000000005</v>
      </c>
      <c r="J147" s="24">
        <v>17100</v>
      </c>
    </row>
    <row r="148" spans="1:10" ht="15" customHeight="1">
      <c r="A148" s="6" t="s">
        <v>560</v>
      </c>
      <c r="B148" s="7" t="s">
        <v>561</v>
      </c>
      <c r="C148" s="7" t="s">
        <v>543</v>
      </c>
      <c r="D148" s="20">
        <v>57000</v>
      </c>
      <c r="E148" s="22">
        <v>0.70640000000000003</v>
      </c>
      <c r="F148" s="22">
        <v>0.35320000000000001</v>
      </c>
      <c r="G148" s="23">
        <v>13.1</v>
      </c>
      <c r="H148" s="24">
        <v>614</v>
      </c>
      <c r="I148" s="25">
        <v>744.9</v>
      </c>
      <c r="J148" s="24">
        <v>20132</v>
      </c>
    </row>
    <row r="149" spans="1:10" ht="15" customHeight="1">
      <c r="A149" s="6" t="s">
        <v>562</v>
      </c>
      <c r="B149" s="7" t="s">
        <v>563</v>
      </c>
      <c r="C149" s="7" t="s">
        <v>543</v>
      </c>
      <c r="D149" s="20">
        <v>57000</v>
      </c>
      <c r="E149" s="22">
        <v>0.72519999999999996</v>
      </c>
      <c r="F149" s="22">
        <v>0.36259999999999998</v>
      </c>
      <c r="G149" s="23">
        <v>13.4</v>
      </c>
      <c r="H149" s="24">
        <v>631</v>
      </c>
      <c r="I149" s="25">
        <v>764.7</v>
      </c>
      <c r="J149" s="24">
        <v>20668</v>
      </c>
    </row>
    <row r="150" spans="1:10" ht="15" customHeight="1">
      <c r="A150" s="6" t="s">
        <v>564</v>
      </c>
      <c r="B150" s="7" t="s">
        <v>565</v>
      </c>
      <c r="C150" s="7" t="s">
        <v>543</v>
      </c>
      <c r="D150" s="20">
        <v>57000</v>
      </c>
      <c r="E150" s="22">
        <v>0.73870000000000002</v>
      </c>
      <c r="F150" s="22">
        <v>0.36940000000000001</v>
      </c>
      <c r="G150" s="23">
        <v>13.7</v>
      </c>
      <c r="H150" s="24">
        <v>642</v>
      </c>
      <c r="I150" s="25">
        <v>779</v>
      </c>
      <c r="J150" s="24">
        <v>21053</v>
      </c>
    </row>
    <row r="151" spans="1:10" ht="15" customHeight="1">
      <c r="A151" s="6" t="s">
        <v>566</v>
      </c>
      <c r="B151" s="7" t="s">
        <v>567</v>
      </c>
      <c r="C151" s="7" t="s">
        <v>568</v>
      </c>
      <c r="D151" s="20">
        <v>71615</v>
      </c>
      <c r="E151" s="22">
        <v>0.55889999999999995</v>
      </c>
      <c r="F151" s="22">
        <v>0.30740000000000001</v>
      </c>
      <c r="G151" s="23">
        <v>11.4</v>
      </c>
      <c r="H151" s="24">
        <v>535</v>
      </c>
      <c r="I151" s="25">
        <v>814.5</v>
      </c>
      <c r="J151" s="24">
        <v>22014</v>
      </c>
    </row>
    <row r="152" spans="1:10" ht="15" customHeight="1">
      <c r="A152" s="6" t="s">
        <v>569</v>
      </c>
      <c r="B152" s="7" t="s">
        <v>570</v>
      </c>
      <c r="C152" s="7" t="s">
        <v>568</v>
      </c>
      <c r="D152" s="20">
        <v>71615</v>
      </c>
      <c r="E152" s="22">
        <v>0.54</v>
      </c>
      <c r="F152" s="22">
        <v>0.29699999999999999</v>
      </c>
      <c r="G152" s="23">
        <v>11</v>
      </c>
      <c r="H152" s="24">
        <v>516</v>
      </c>
      <c r="I152" s="25">
        <v>787</v>
      </c>
      <c r="J152" s="24">
        <v>21270</v>
      </c>
    </row>
    <row r="153" spans="1:10" ht="15" customHeight="1">
      <c r="A153" s="6" t="s">
        <v>571</v>
      </c>
      <c r="B153" s="7" t="s">
        <v>572</v>
      </c>
      <c r="C153" s="7" t="s">
        <v>568</v>
      </c>
      <c r="D153" s="20">
        <v>71615</v>
      </c>
      <c r="E153" s="22">
        <v>0.4728</v>
      </c>
      <c r="F153" s="22">
        <v>0.26</v>
      </c>
      <c r="G153" s="23">
        <v>9.6</v>
      </c>
      <c r="H153" s="24">
        <v>452</v>
      </c>
      <c r="I153" s="25">
        <v>689</v>
      </c>
      <c r="J153" s="24">
        <v>18623</v>
      </c>
    </row>
    <row r="154" spans="1:10" ht="15" customHeight="1">
      <c r="A154" s="6" t="s">
        <v>573</v>
      </c>
      <c r="B154" s="7" t="s">
        <v>574</v>
      </c>
      <c r="C154" s="7" t="s">
        <v>568</v>
      </c>
      <c r="D154" s="20">
        <v>71615</v>
      </c>
      <c r="E154" s="22">
        <v>0.54200000000000004</v>
      </c>
      <c r="F154" s="22">
        <v>0.29809999999999998</v>
      </c>
      <c r="G154" s="23">
        <v>11</v>
      </c>
      <c r="H154" s="24">
        <v>518</v>
      </c>
      <c r="I154" s="25">
        <v>789.9</v>
      </c>
      <c r="J154" s="24">
        <v>21348</v>
      </c>
    </row>
    <row r="155" spans="1:10" ht="15" customHeight="1">
      <c r="A155" s="6" t="s">
        <v>575</v>
      </c>
      <c r="B155" s="7" t="s">
        <v>576</v>
      </c>
      <c r="C155" s="7" t="s">
        <v>568</v>
      </c>
      <c r="D155" s="20">
        <v>71615</v>
      </c>
      <c r="E155" s="22">
        <v>0.56069999999999998</v>
      </c>
      <c r="F155" s="22">
        <v>0.30840000000000001</v>
      </c>
      <c r="G155" s="23">
        <v>11.4</v>
      </c>
      <c r="H155" s="24">
        <v>536</v>
      </c>
      <c r="I155" s="25">
        <v>817.1</v>
      </c>
      <c r="J155" s="24">
        <v>22085</v>
      </c>
    </row>
    <row r="156" spans="1:10" ht="15" customHeight="1">
      <c r="A156" s="6" t="s">
        <v>577</v>
      </c>
      <c r="B156" s="7" t="s">
        <v>578</v>
      </c>
      <c r="C156" s="7" t="s">
        <v>568</v>
      </c>
      <c r="D156" s="20">
        <v>71615</v>
      </c>
      <c r="E156" s="22">
        <v>0.61890000000000001</v>
      </c>
      <c r="F156" s="22">
        <v>0.34039999999999998</v>
      </c>
      <c r="G156" s="23">
        <v>12.6</v>
      </c>
      <c r="H156" s="24">
        <v>592</v>
      </c>
      <c r="I156" s="25">
        <v>902</v>
      </c>
      <c r="J156" s="24">
        <v>24377</v>
      </c>
    </row>
    <row r="157" spans="1:10" ht="15" customHeight="1">
      <c r="A157" s="6" t="s">
        <v>579</v>
      </c>
      <c r="B157" s="7" t="s">
        <v>580</v>
      </c>
      <c r="C157" s="7" t="s">
        <v>568</v>
      </c>
      <c r="D157" s="20">
        <v>71615</v>
      </c>
      <c r="E157" s="22">
        <v>0.56340000000000001</v>
      </c>
      <c r="F157" s="22">
        <v>0.30990000000000001</v>
      </c>
      <c r="G157" s="23">
        <v>11.5</v>
      </c>
      <c r="H157" s="24">
        <v>539</v>
      </c>
      <c r="I157" s="25">
        <v>821.1</v>
      </c>
      <c r="J157" s="24">
        <v>22191</v>
      </c>
    </row>
    <row r="158" spans="1:10" ht="15" customHeight="1">
      <c r="A158" s="6" t="s">
        <v>581</v>
      </c>
      <c r="B158" s="7" t="s">
        <v>582</v>
      </c>
      <c r="C158" s="7" t="s">
        <v>568</v>
      </c>
      <c r="D158" s="20">
        <v>71615</v>
      </c>
      <c r="E158" s="22">
        <v>0.6069</v>
      </c>
      <c r="F158" s="22">
        <v>0.33379999999999999</v>
      </c>
      <c r="G158" s="23">
        <v>12.4</v>
      </c>
      <c r="H158" s="24">
        <v>580</v>
      </c>
      <c r="I158" s="25">
        <v>884.5</v>
      </c>
      <c r="J158" s="24">
        <v>23905</v>
      </c>
    </row>
    <row r="159" spans="1:10" ht="15" customHeight="1">
      <c r="A159" s="6" t="s">
        <v>583</v>
      </c>
      <c r="B159" s="7" t="s">
        <v>584</v>
      </c>
      <c r="C159" s="7" t="s">
        <v>568</v>
      </c>
      <c r="D159" s="20">
        <v>71615</v>
      </c>
      <c r="E159" s="22">
        <v>0.57279999999999998</v>
      </c>
      <c r="F159" s="22">
        <v>0.315</v>
      </c>
      <c r="G159" s="23">
        <v>11.7</v>
      </c>
      <c r="H159" s="24">
        <v>548</v>
      </c>
      <c r="I159" s="25">
        <v>834.8</v>
      </c>
      <c r="J159" s="24">
        <v>22562</v>
      </c>
    </row>
    <row r="160" spans="1:10" ht="15" customHeight="1">
      <c r="A160" s="6" t="s">
        <v>585</v>
      </c>
      <c r="B160" s="7" t="s">
        <v>586</v>
      </c>
      <c r="C160" s="7" t="s">
        <v>568</v>
      </c>
      <c r="D160" s="20">
        <v>71615</v>
      </c>
      <c r="E160" s="22">
        <v>0.59499999999999997</v>
      </c>
      <c r="F160" s="22">
        <v>0.32719999999999999</v>
      </c>
      <c r="G160" s="23">
        <v>12.1</v>
      </c>
      <c r="H160" s="24">
        <v>569</v>
      </c>
      <c r="I160" s="25">
        <v>867.1</v>
      </c>
      <c r="J160" s="24">
        <v>23436</v>
      </c>
    </row>
    <row r="161" spans="1:10" ht="15" customHeight="1">
      <c r="A161" s="6" t="s">
        <v>587</v>
      </c>
      <c r="B161" s="7" t="s">
        <v>588</v>
      </c>
      <c r="C161" s="7" t="s">
        <v>568</v>
      </c>
      <c r="D161" s="20">
        <v>71615</v>
      </c>
      <c r="E161" s="22">
        <v>0.627</v>
      </c>
      <c r="F161" s="22">
        <v>0.34489999999999998</v>
      </c>
      <c r="G161" s="23">
        <v>12.8</v>
      </c>
      <c r="H161" s="24">
        <v>600</v>
      </c>
      <c r="I161" s="25">
        <v>913.8</v>
      </c>
      <c r="J161" s="24">
        <v>24696</v>
      </c>
    </row>
    <row r="162" spans="1:10" ht="15" customHeight="1">
      <c r="A162" s="6" t="s">
        <v>589</v>
      </c>
      <c r="B162" s="7" t="s">
        <v>590</v>
      </c>
      <c r="C162" s="7" t="s">
        <v>568</v>
      </c>
      <c r="D162" s="20">
        <v>71615</v>
      </c>
      <c r="E162" s="22">
        <v>0.4763</v>
      </c>
      <c r="F162" s="22">
        <v>0.26200000000000001</v>
      </c>
      <c r="G162" s="23">
        <v>9.6999999999999993</v>
      </c>
      <c r="H162" s="24">
        <v>456</v>
      </c>
      <c r="I162" s="25">
        <v>694.1</v>
      </c>
      <c r="J162" s="24">
        <v>18761</v>
      </c>
    </row>
    <row r="163" spans="1:10" ht="15" customHeight="1">
      <c r="A163" s="6" t="s">
        <v>591</v>
      </c>
      <c r="B163" s="7" t="s">
        <v>592</v>
      </c>
      <c r="C163" s="7" t="s">
        <v>568</v>
      </c>
      <c r="D163" s="20">
        <v>71615</v>
      </c>
      <c r="E163" s="22">
        <v>0.46600000000000003</v>
      </c>
      <c r="F163" s="22">
        <v>0.25629999999999997</v>
      </c>
      <c r="G163" s="23">
        <v>9.5</v>
      </c>
      <c r="H163" s="24">
        <v>446</v>
      </c>
      <c r="I163" s="25">
        <v>679.1</v>
      </c>
      <c r="J163" s="24">
        <v>18355</v>
      </c>
    </row>
    <row r="164" spans="1:10" ht="15" customHeight="1">
      <c r="A164" s="6" t="s">
        <v>593</v>
      </c>
      <c r="B164" s="7" t="s">
        <v>594</v>
      </c>
      <c r="C164" s="7" t="s">
        <v>595</v>
      </c>
      <c r="D164" s="20">
        <v>87600</v>
      </c>
      <c r="E164" s="22">
        <v>0.4662</v>
      </c>
      <c r="F164" s="22">
        <v>0.25640000000000002</v>
      </c>
      <c r="G164" s="23">
        <v>9.5</v>
      </c>
      <c r="H164" s="24">
        <v>446</v>
      </c>
      <c r="I164" s="25">
        <v>831.1</v>
      </c>
      <c r="J164" s="24">
        <v>22462</v>
      </c>
    </row>
    <row r="165" spans="1:10" ht="15" customHeight="1">
      <c r="A165" s="6" t="s">
        <v>596</v>
      </c>
      <c r="B165" s="7" t="s">
        <v>597</v>
      </c>
      <c r="C165" s="7" t="s">
        <v>595</v>
      </c>
      <c r="D165" s="20">
        <v>87600</v>
      </c>
      <c r="E165" s="22">
        <v>0.61299999999999999</v>
      </c>
      <c r="F165" s="22">
        <v>0.3372</v>
      </c>
      <c r="G165" s="23">
        <v>12.5</v>
      </c>
      <c r="H165" s="24">
        <v>586</v>
      </c>
      <c r="I165" s="25">
        <v>1092.8</v>
      </c>
      <c r="J165" s="24">
        <v>29534</v>
      </c>
    </row>
    <row r="166" spans="1:10" ht="15" customHeight="1">
      <c r="A166" s="6" t="s">
        <v>598</v>
      </c>
      <c r="B166" s="7" t="s">
        <v>599</v>
      </c>
      <c r="C166" s="7" t="s">
        <v>595</v>
      </c>
      <c r="D166" s="20">
        <v>87600</v>
      </c>
      <c r="E166" s="22">
        <v>0.46739999999999998</v>
      </c>
      <c r="F166" s="22">
        <v>0.2571</v>
      </c>
      <c r="G166" s="23">
        <v>9.5</v>
      </c>
      <c r="H166" s="24">
        <v>447</v>
      </c>
      <c r="I166" s="25">
        <v>833.2</v>
      </c>
      <c r="J166" s="24">
        <v>22519</v>
      </c>
    </row>
    <row r="167" spans="1:10" ht="15" customHeight="1">
      <c r="A167" s="6" t="s">
        <v>600</v>
      </c>
      <c r="B167" s="7" t="s">
        <v>601</v>
      </c>
      <c r="C167" s="7" t="s">
        <v>595</v>
      </c>
      <c r="D167" s="20">
        <v>87600</v>
      </c>
      <c r="E167" s="22">
        <v>0.50129999999999997</v>
      </c>
      <c r="F167" s="22">
        <v>0.2757</v>
      </c>
      <c r="G167" s="23">
        <v>10.199999999999999</v>
      </c>
      <c r="H167" s="24">
        <v>479</v>
      </c>
      <c r="I167" s="25">
        <v>893.6</v>
      </c>
      <c r="J167" s="24">
        <v>24153</v>
      </c>
    </row>
    <row r="168" spans="1:10" ht="15" customHeight="1">
      <c r="A168" s="6" t="s">
        <v>602</v>
      </c>
      <c r="B168" s="7" t="s">
        <v>603</v>
      </c>
      <c r="C168" s="7" t="s">
        <v>595</v>
      </c>
      <c r="D168" s="20">
        <v>87600</v>
      </c>
      <c r="E168" s="22">
        <v>0.56850000000000001</v>
      </c>
      <c r="F168" s="22">
        <v>0.31269999999999998</v>
      </c>
      <c r="G168" s="23">
        <v>11.6</v>
      </c>
      <c r="H168" s="24">
        <v>544</v>
      </c>
      <c r="I168" s="25">
        <v>1013.4</v>
      </c>
      <c r="J168" s="24">
        <v>27390</v>
      </c>
    </row>
    <row r="169" spans="1:10" ht="15" customHeight="1">
      <c r="A169" s="6" t="s">
        <v>604</v>
      </c>
      <c r="B169" s="7" t="s">
        <v>605</v>
      </c>
      <c r="C169" s="7" t="s">
        <v>606</v>
      </c>
      <c r="D169" s="20">
        <v>40786</v>
      </c>
      <c r="E169" s="22">
        <v>0.6754</v>
      </c>
      <c r="F169" s="22">
        <v>0.3377</v>
      </c>
      <c r="G169" s="23">
        <v>12.5</v>
      </c>
      <c r="H169" s="24">
        <v>587</v>
      </c>
      <c r="I169" s="25">
        <v>509.6</v>
      </c>
      <c r="J169" s="24">
        <v>13773</v>
      </c>
    </row>
    <row r="170" spans="1:10" ht="15" customHeight="1">
      <c r="A170" s="6" t="s">
        <v>607</v>
      </c>
      <c r="B170" s="7" t="s">
        <v>608</v>
      </c>
      <c r="C170" s="7" t="s">
        <v>606</v>
      </c>
      <c r="D170" s="20">
        <v>40786</v>
      </c>
      <c r="E170" s="22">
        <v>0.79400000000000004</v>
      </c>
      <c r="F170" s="22">
        <v>0.39700000000000002</v>
      </c>
      <c r="G170" s="23">
        <v>14.7</v>
      </c>
      <c r="H170" s="24">
        <v>690</v>
      </c>
      <c r="I170" s="25">
        <v>599.1</v>
      </c>
      <c r="J170" s="24">
        <v>16192</v>
      </c>
    </row>
    <row r="171" spans="1:10" ht="15" customHeight="1">
      <c r="A171" s="6" t="s">
        <v>609</v>
      </c>
      <c r="B171" s="7" t="s">
        <v>610</v>
      </c>
      <c r="C171" s="7" t="s">
        <v>606</v>
      </c>
      <c r="D171" s="20">
        <v>40786</v>
      </c>
      <c r="E171" s="22">
        <v>0.44090000000000001</v>
      </c>
      <c r="F171" s="22">
        <v>0.22040000000000001</v>
      </c>
      <c r="G171" s="23">
        <v>8.1999999999999993</v>
      </c>
      <c r="H171" s="24">
        <v>383</v>
      </c>
      <c r="I171" s="25">
        <v>332.7</v>
      </c>
      <c r="J171" s="24">
        <v>8991</v>
      </c>
    </row>
    <row r="172" spans="1:10" ht="15" customHeight="1">
      <c r="A172" s="6" t="s">
        <v>611</v>
      </c>
      <c r="B172" s="7" t="s">
        <v>612</v>
      </c>
      <c r="C172" s="7" t="s">
        <v>606</v>
      </c>
      <c r="D172" s="20">
        <v>40786</v>
      </c>
      <c r="E172" s="22">
        <v>0.35570000000000002</v>
      </c>
      <c r="F172" s="22">
        <v>0.1779</v>
      </c>
      <c r="G172" s="23">
        <v>6.6</v>
      </c>
      <c r="H172" s="24">
        <v>309</v>
      </c>
      <c r="I172" s="25">
        <v>268.39999999999998</v>
      </c>
      <c r="J172" s="24">
        <v>7254</v>
      </c>
    </row>
    <row r="173" spans="1:10" ht="15" customHeight="1">
      <c r="A173" s="6" t="s">
        <v>613</v>
      </c>
      <c r="B173" s="7" t="s">
        <v>614</v>
      </c>
      <c r="C173" s="7" t="s">
        <v>606</v>
      </c>
      <c r="D173" s="20">
        <v>40786</v>
      </c>
      <c r="E173" s="22">
        <v>0.39560000000000001</v>
      </c>
      <c r="F173" s="22">
        <v>0.1978</v>
      </c>
      <c r="G173" s="23">
        <v>7.3</v>
      </c>
      <c r="H173" s="24">
        <v>344</v>
      </c>
      <c r="I173" s="25">
        <v>298.5</v>
      </c>
      <c r="J173" s="24">
        <v>8067</v>
      </c>
    </row>
    <row r="174" spans="1:10" ht="15" customHeight="1">
      <c r="A174" s="6" t="s">
        <v>615</v>
      </c>
      <c r="B174" s="7" t="s">
        <v>616</v>
      </c>
      <c r="C174" s="7" t="s">
        <v>606</v>
      </c>
      <c r="D174" s="20">
        <v>40786</v>
      </c>
      <c r="E174" s="22">
        <v>0.67059999999999997</v>
      </c>
      <c r="F174" s="22">
        <v>0.33529999999999999</v>
      </c>
      <c r="G174" s="23">
        <v>12.4</v>
      </c>
      <c r="H174" s="24">
        <v>583</v>
      </c>
      <c r="I174" s="25">
        <v>506</v>
      </c>
      <c r="J174" s="24">
        <v>13676</v>
      </c>
    </row>
    <row r="175" spans="1:10" ht="15" customHeight="1">
      <c r="A175" s="6" t="s">
        <v>617</v>
      </c>
      <c r="B175" s="7" t="s">
        <v>618</v>
      </c>
      <c r="C175" s="7" t="s">
        <v>606</v>
      </c>
      <c r="D175" s="20">
        <v>40786</v>
      </c>
      <c r="E175" s="22">
        <v>0.56520000000000004</v>
      </c>
      <c r="F175" s="22">
        <v>0.28260000000000002</v>
      </c>
      <c r="G175" s="23">
        <v>10.5</v>
      </c>
      <c r="H175" s="24">
        <v>491</v>
      </c>
      <c r="I175" s="25">
        <v>426.5</v>
      </c>
      <c r="J175" s="24">
        <v>11526</v>
      </c>
    </row>
    <row r="176" spans="1:10" ht="15" customHeight="1">
      <c r="A176" s="6" t="s">
        <v>619</v>
      </c>
      <c r="B176" s="7" t="s">
        <v>620</v>
      </c>
      <c r="C176" s="7" t="s">
        <v>606</v>
      </c>
      <c r="D176" s="20">
        <v>40786</v>
      </c>
      <c r="E176" s="22">
        <v>0.70540000000000003</v>
      </c>
      <c r="F176" s="22">
        <v>0.35270000000000001</v>
      </c>
      <c r="G176" s="23">
        <v>13</v>
      </c>
      <c r="H176" s="24">
        <v>613</v>
      </c>
      <c r="I176" s="25">
        <v>532.29999999999995</v>
      </c>
      <c r="J176" s="24">
        <v>14385</v>
      </c>
    </row>
    <row r="177" spans="1:10" ht="15" customHeight="1">
      <c r="A177" s="6" t="s">
        <v>621</v>
      </c>
      <c r="B177" s="7" t="s">
        <v>622</v>
      </c>
      <c r="C177" s="7" t="s">
        <v>606</v>
      </c>
      <c r="D177" s="20">
        <v>40786</v>
      </c>
      <c r="E177" s="22">
        <v>0.67430000000000001</v>
      </c>
      <c r="F177" s="22">
        <v>0.3372</v>
      </c>
      <c r="G177" s="23">
        <v>12.5</v>
      </c>
      <c r="H177" s="24">
        <v>586</v>
      </c>
      <c r="I177" s="25">
        <v>508.8</v>
      </c>
      <c r="J177" s="24">
        <v>13751</v>
      </c>
    </row>
    <row r="178" spans="1:10" ht="15" customHeight="1">
      <c r="A178" s="6" t="s">
        <v>623</v>
      </c>
      <c r="B178" s="7" t="s">
        <v>624</v>
      </c>
      <c r="C178" s="7" t="s">
        <v>606</v>
      </c>
      <c r="D178" s="20">
        <v>40786</v>
      </c>
      <c r="E178" s="22">
        <v>0.68540000000000001</v>
      </c>
      <c r="F178" s="22">
        <v>0.3427</v>
      </c>
      <c r="G178" s="23">
        <v>12.7</v>
      </c>
      <c r="H178" s="24">
        <v>596</v>
      </c>
      <c r="I178" s="25">
        <v>517.20000000000005</v>
      </c>
      <c r="J178" s="24">
        <v>13977</v>
      </c>
    </row>
    <row r="179" spans="1:10" ht="15" customHeight="1">
      <c r="A179" s="6" t="s">
        <v>625</v>
      </c>
      <c r="B179" s="7" t="s">
        <v>626</v>
      </c>
      <c r="C179" s="7" t="s">
        <v>606</v>
      </c>
      <c r="D179" s="20">
        <v>40786</v>
      </c>
      <c r="E179" s="22">
        <v>0.28599999999999998</v>
      </c>
      <c r="F179" s="22">
        <v>0.14299999999999999</v>
      </c>
      <c r="G179" s="23">
        <v>5.3</v>
      </c>
      <c r="H179" s="24">
        <v>249</v>
      </c>
      <c r="I179" s="25">
        <v>215.8</v>
      </c>
      <c r="J179" s="24">
        <v>5832</v>
      </c>
    </row>
    <row r="180" spans="1:10" ht="15" customHeight="1">
      <c r="A180" s="6" t="s">
        <v>627</v>
      </c>
      <c r="B180" s="7" t="s">
        <v>628</v>
      </c>
      <c r="C180" s="7" t="s">
        <v>606</v>
      </c>
      <c r="D180" s="20">
        <v>40786</v>
      </c>
      <c r="E180" s="22">
        <v>0.53690000000000004</v>
      </c>
      <c r="F180" s="22">
        <v>0.26840000000000003</v>
      </c>
      <c r="G180" s="23">
        <v>9.9</v>
      </c>
      <c r="H180" s="24">
        <v>467</v>
      </c>
      <c r="I180" s="25">
        <v>405.1</v>
      </c>
      <c r="J180" s="24">
        <v>10949</v>
      </c>
    </row>
    <row r="181" spans="1:10" ht="15" customHeight="1">
      <c r="A181" s="6" t="s">
        <v>629</v>
      </c>
      <c r="B181" s="7" t="s">
        <v>630</v>
      </c>
      <c r="C181" s="7" t="s">
        <v>606</v>
      </c>
      <c r="D181" s="20">
        <v>40786</v>
      </c>
      <c r="E181" s="22">
        <v>0.51259999999999994</v>
      </c>
      <c r="F181" s="22">
        <v>0.25629999999999997</v>
      </c>
      <c r="G181" s="23">
        <v>9.5</v>
      </c>
      <c r="H181" s="24">
        <v>446</v>
      </c>
      <c r="I181" s="25">
        <v>386.8</v>
      </c>
      <c r="J181" s="24">
        <v>10453</v>
      </c>
    </row>
    <row r="182" spans="1:10" ht="15" customHeight="1">
      <c r="A182" s="6" t="s">
        <v>631</v>
      </c>
      <c r="B182" s="7" t="s">
        <v>632</v>
      </c>
      <c r="C182" s="7" t="s">
        <v>606</v>
      </c>
      <c r="D182" s="20">
        <v>40786</v>
      </c>
      <c r="E182" s="22">
        <v>0.43919999999999998</v>
      </c>
      <c r="F182" s="22">
        <v>0.21959999999999999</v>
      </c>
      <c r="G182" s="23">
        <v>8.1</v>
      </c>
      <c r="H182" s="24">
        <v>382</v>
      </c>
      <c r="I182" s="25">
        <v>331.4</v>
      </c>
      <c r="J182" s="24">
        <v>8957</v>
      </c>
    </row>
    <row r="183" spans="1:10" ht="15" customHeight="1">
      <c r="A183" s="6" t="s">
        <v>633</v>
      </c>
      <c r="B183" s="7" t="s">
        <v>634</v>
      </c>
      <c r="C183" s="7" t="s">
        <v>635</v>
      </c>
      <c r="D183" s="20">
        <v>64618</v>
      </c>
      <c r="E183" s="22">
        <v>0.58279999999999998</v>
      </c>
      <c r="F183" s="22">
        <v>0.29139999999999999</v>
      </c>
      <c r="G183" s="23">
        <v>10.8</v>
      </c>
      <c r="H183" s="24">
        <v>507</v>
      </c>
      <c r="I183" s="25">
        <v>696.7</v>
      </c>
      <c r="J183" s="24">
        <v>18830</v>
      </c>
    </row>
    <row r="184" spans="1:10" ht="15" customHeight="1">
      <c r="A184" s="6" t="s">
        <v>636</v>
      </c>
      <c r="B184" s="7" t="s">
        <v>637</v>
      </c>
      <c r="C184" s="7" t="s">
        <v>635</v>
      </c>
      <c r="D184" s="20">
        <v>64618</v>
      </c>
      <c r="E184" s="22">
        <v>0.54720000000000002</v>
      </c>
      <c r="F184" s="22">
        <v>0.27360000000000001</v>
      </c>
      <c r="G184" s="23">
        <v>10.1</v>
      </c>
      <c r="H184" s="24">
        <v>476</v>
      </c>
      <c r="I184" s="25">
        <v>654.1</v>
      </c>
      <c r="J184" s="24">
        <v>17679</v>
      </c>
    </row>
    <row r="185" spans="1:10" ht="15" customHeight="1">
      <c r="A185" s="6" t="s">
        <v>638</v>
      </c>
      <c r="B185" s="7" t="s">
        <v>639</v>
      </c>
      <c r="C185" s="7" t="s">
        <v>635</v>
      </c>
      <c r="D185" s="20">
        <v>64618</v>
      </c>
      <c r="E185" s="22">
        <v>0.26329999999999998</v>
      </c>
      <c r="F185" s="22">
        <v>0.13170000000000001</v>
      </c>
      <c r="G185" s="23">
        <v>4.9000000000000004</v>
      </c>
      <c r="H185" s="24">
        <v>229</v>
      </c>
      <c r="I185" s="25">
        <v>314.8</v>
      </c>
      <c r="J185" s="24">
        <v>8507</v>
      </c>
    </row>
    <row r="186" spans="1:10" ht="15" customHeight="1">
      <c r="A186" s="6" t="s">
        <v>640</v>
      </c>
      <c r="B186" s="7" t="s">
        <v>641</v>
      </c>
      <c r="C186" s="7" t="s">
        <v>635</v>
      </c>
      <c r="D186" s="20">
        <v>64618</v>
      </c>
      <c r="E186" s="22">
        <v>0.69389999999999996</v>
      </c>
      <c r="F186" s="22">
        <v>0.34689999999999999</v>
      </c>
      <c r="G186" s="23">
        <v>12.8</v>
      </c>
      <c r="H186" s="24">
        <v>603</v>
      </c>
      <c r="I186" s="25">
        <v>829.5</v>
      </c>
      <c r="J186" s="24">
        <v>22419</v>
      </c>
    </row>
    <row r="187" spans="1:10" ht="15" customHeight="1">
      <c r="A187" s="6" t="s">
        <v>642</v>
      </c>
      <c r="B187" s="7" t="s">
        <v>643</v>
      </c>
      <c r="C187" s="7" t="s">
        <v>635</v>
      </c>
      <c r="D187" s="20">
        <v>64618</v>
      </c>
      <c r="E187" s="22">
        <v>0.74319999999999997</v>
      </c>
      <c r="F187" s="22">
        <v>0.37159999999999999</v>
      </c>
      <c r="G187" s="23">
        <v>13.7</v>
      </c>
      <c r="H187" s="24">
        <v>646</v>
      </c>
      <c r="I187" s="25">
        <v>888.4</v>
      </c>
      <c r="J187" s="24">
        <v>24012</v>
      </c>
    </row>
    <row r="188" spans="1:10" ht="15" customHeight="1">
      <c r="A188" s="6" t="s">
        <v>644</v>
      </c>
      <c r="B188" s="7" t="s">
        <v>645</v>
      </c>
      <c r="C188" s="7" t="s">
        <v>635</v>
      </c>
      <c r="D188" s="20">
        <v>64618</v>
      </c>
      <c r="E188" s="22">
        <v>0.65780000000000005</v>
      </c>
      <c r="F188" s="22">
        <v>0.32890000000000003</v>
      </c>
      <c r="G188" s="23">
        <v>12.2</v>
      </c>
      <c r="H188" s="24">
        <v>572</v>
      </c>
      <c r="I188" s="25">
        <v>786.4</v>
      </c>
      <c r="J188" s="24">
        <v>21253</v>
      </c>
    </row>
    <row r="189" spans="1:10" ht="15" customHeight="1">
      <c r="A189" s="6" t="s">
        <v>646</v>
      </c>
      <c r="B189" s="7" t="s">
        <v>647</v>
      </c>
      <c r="C189" s="7" t="s">
        <v>635</v>
      </c>
      <c r="D189" s="20">
        <v>64618</v>
      </c>
      <c r="E189" s="22">
        <v>0.73170000000000002</v>
      </c>
      <c r="F189" s="22">
        <v>0.3659</v>
      </c>
      <c r="G189" s="23">
        <v>13.5</v>
      </c>
      <c r="H189" s="24">
        <v>636</v>
      </c>
      <c r="I189" s="25">
        <v>874.7</v>
      </c>
      <c r="J189" s="24">
        <v>23640</v>
      </c>
    </row>
    <row r="190" spans="1:10" ht="15" customHeight="1">
      <c r="A190" s="6" t="s">
        <v>648</v>
      </c>
      <c r="B190" s="7" t="s">
        <v>649</v>
      </c>
      <c r="C190" s="7" t="s">
        <v>635</v>
      </c>
      <c r="D190" s="20">
        <v>64618</v>
      </c>
      <c r="E190" s="22">
        <v>0.69179999999999997</v>
      </c>
      <c r="F190" s="22">
        <v>0.34589999999999999</v>
      </c>
      <c r="G190" s="23">
        <v>12.8</v>
      </c>
      <c r="H190" s="24">
        <v>602</v>
      </c>
      <c r="I190" s="25">
        <v>827</v>
      </c>
      <c r="J190" s="24">
        <v>22351</v>
      </c>
    </row>
    <row r="191" spans="1:10" ht="15" customHeight="1">
      <c r="A191" s="6" t="s">
        <v>650</v>
      </c>
      <c r="B191" s="7" t="s">
        <v>651</v>
      </c>
      <c r="C191" s="7" t="s">
        <v>635</v>
      </c>
      <c r="D191" s="20">
        <v>64618</v>
      </c>
      <c r="E191" s="22">
        <v>0.75829999999999997</v>
      </c>
      <c r="F191" s="22">
        <v>0.37909999999999999</v>
      </c>
      <c r="G191" s="23">
        <v>14</v>
      </c>
      <c r="H191" s="24">
        <v>659</v>
      </c>
      <c r="I191" s="25">
        <v>906.5</v>
      </c>
      <c r="J191" s="24">
        <v>24500</v>
      </c>
    </row>
    <row r="192" spans="1:10" ht="15" customHeight="1">
      <c r="A192" s="6" t="s">
        <v>652</v>
      </c>
      <c r="B192" s="7" t="s">
        <v>653</v>
      </c>
      <c r="C192" s="7" t="s">
        <v>635</v>
      </c>
      <c r="D192" s="20">
        <v>64618</v>
      </c>
      <c r="E192" s="22">
        <v>0.67100000000000004</v>
      </c>
      <c r="F192" s="22">
        <v>0.33550000000000002</v>
      </c>
      <c r="G192" s="23">
        <v>12.4</v>
      </c>
      <c r="H192" s="24">
        <v>583</v>
      </c>
      <c r="I192" s="25">
        <v>802.1</v>
      </c>
      <c r="J192" s="24">
        <v>21679</v>
      </c>
    </row>
    <row r="193" spans="1:10" ht="15" customHeight="1">
      <c r="A193" s="6" t="s">
        <v>654</v>
      </c>
      <c r="B193" s="7" t="s">
        <v>655</v>
      </c>
      <c r="C193" s="7" t="s">
        <v>635</v>
      </c>
      <c r="D193" s="20">
        <v>64618</v>
      </c>
      <c r="E193" s="22">
        <v>0.71209999999999996</v>
      </c>
      <c r="F193" s="22">
        <v>0.35599999999999998</v>
      </c>
      <c r="G193" s="23">
        <v>13.2</v>
      </c>
      <c r="H193" s="24">
        <v>619</v>
      </c>
      <c r="I193" s="25">
        <v>851.3</v>
      </c>
      <c r="J193" s="24">
        <v>23007</v>
      </c>
    </row>
    <row r="194" spans="1:10" ht="15" customHeight="1">
      <c r="A194" s="6" t="s">
        <v>656</v>
      </c>
      <c r="B194" s="7" t="s">
        <v>657</v>
      </c>
      <c r="C194" s="7" t="s">
        <v>635</v>
      </c>
      <c r="D194" s="20">
        <v>64618</v>
      </c>
      <c r="E194" s="22">
        <v>0.70489999999999997</v>
      </c>
      <c r="F194" s="22">
        <v>0.35239999999999999</v>
      </c>
      <c r="G194" s="23">
        <v>13</v>
      </c>
      <c r="H194" s="24">
        <v>613</v>
      </c>
      <c r="I194" s="25">
        <v>842.7</v>
      </c>
      <c r="J194" s="24">
        <v>22775</v>
      </c>
    </row>
    <row r="195" spans="1:10" ht="15" customHeight="1">
      <c r="A195" s="6" t="s">
        <v>658</v>
      </c>
      <c r="B195" s="7" t="s">
        <v>659</v>
      </c>
      <c r="C195" s="7" t="s">
        <v>635</v>
      </c>
      <c r="D195" s="20">
        <v>64618</v>
      </c>
      <c r="E195" s="22">
        <v>0.65210000000000001</v>
      </c>
      <c r="F195" s="22">
        <v>0.32600000000000001</v>
      </c>
      <c r="G195" s="23">
        <v>12.1</v>
      </c>
      <c r="H195" s="24">
        <v>567</v>
      </c>
      <c r="I195" s="25">
        <v>779.5</v>
      </c>
      <c r="J195" s="24">
        <v>21069</v>
      </c>
    </row>
    <row r="196" spans="1:10" ht="15" customHeight="1">
      <c r="A196" s="6" t="s">
        <v>660</v>
      </c>
      <c r="B196" s="7" t="s">
        <v>661</v>
      </c>
      <c r="C196" s="7" t="s">
        <v>635</v>
      </c>
      <c r="D196" s="20">
        <v>64618</v>
      </c>
      <c r="E196" s="22">
        <v>0.65720000000000001</v>
      </c>
      <c r="F196" s="22">
        <v>0.3286</v>
      </c>
      <c r="G196" s="23">
        <v>12.2</v>
      </c>
      <c r="H196" s="24">
        <v>571</v>
      </c>
      <c r="I196" s="25">
        <v>785.6</v>
      </c>
      <c r="J196" s="24">
        <v>21233</v>
      </c>
    </row>
    <row r="197" spans="1:10" ht="15" customHeight="1">
      <c r="A197" s="6" t="s">
        <v>662</v>
      </c>
      <c r="B197" s="7" t="s">
        <v>663</v>
      </c>
      <c r="C197" s="7" t="s">
        <v>635</v>
      </c>
      <c r="D197" s="20">
        <v>64618</v>
      </c>
      <c r="E197" s="22">
        <v>0.65290000000000004</v>
      </c>
      <c r="F197" s="22">
        <v>0.32650000000000001</v>
      </c>
      <c r="G197" s="23">
        <v>12.1</v>
      </c>
      <c r="H197" s="24">
        <v>568</v>
      </c>
      <c r="I197" s="25">
        <v>780.5</v>
      </c>
      <c r="J197" s="24">
        <v>21095</v>
      </c>
    </row>
    <row r="198" spans="1:10" ht="15" customHeight="1">
      <c r="A198" s="6" t="s">
        <v>664</v>
      </c>
      <c r="B198" s="7" t="s">
        <v>665</v>
      </c>
      <c r="C198" s="7" t="s">
        <v>635</v>
      </c>
      <c r="D198" s="20">
        <v>64618</v>
      </c>
      <c r="E198" s="22">
        <v>0.80349999999999999</v>
      </c>
      <c r="F198" s="22">
        <v>0.4017</v>
      </c>
      <c r="G198" s="23">
        <v>14.9</v>
      </c>
      <c r="H198" s="24">
        <v>699</v>
      </c>
      <c r="I198" s="25">
        <v>960.5</v>
      </c>
      <c r="J198" s="24">
        <v>25960</v>
      </c>
    </row>
    <row r="199" spans="1:10" ht="15" customHeight="1">
      <c r="A199" s="6" t="s">
        <v>666</v>
      </c>
      <c r="B199" s="7" t="s">
        <v>667</v>
      </c>
      <c r="C199" s="7" t="s">
        <v>635</v>
      </c>
      <c r="D199" s="20">
        <v>64618</v>
      </c>
      <c r="E199" s="22">
        <v>0.70569999999999999</v>
      </c>
      <c r="F199" s="22">
        <v>0.3528</v>
      </c>
      <c r="G199" s="23">
        <v>13.1</v>
      </c>
      <c r="H199" s="24">
        <v>614</v>
      </c>
      <c r="I199" s="25">
        <v>843.6</v>
      </c>
      <c r="J199" s="24">
        <v>22800</v>
      </c>
    </row>
    <row r="200" spans="1:10" ht="15" customHeight="1">
      <c r="A200" s="6" t="s">
        <v>668</v>
      </c>
      <c r="B200" s="7" t="s">
        <v>669</v>
      </c>
      <c r="C200" s="7" t="s">
        <v>635</v>
      </c>
      <c r="D200" s="20">
        <v>64618</v>
      </c>
      <c r="E200" s="22">
        <v>0.67989999999999995</v>
      </c>
      <c r="F200" s="22">
        <v>0.33989999999999998</v>
      </c>
      <c r="G200" s="23">
        <v>12.6</v>
      </c>
      <c r="H200" s="24">
        <v>591</v>
      </c>
      <c r="I200" s="25">
        <v>812.8</v>
      </c>
      <c r="J200" s="24">
        <v>21967</v>
      </c>
    </row>
    <row r="201" spans="1:10" ht="15" customHeight="1">
      <c r="A201" s="6" t="s">
        <v>670</v>
      </c>
      <c r="B201" s="7" t="s">
        <v>671</v>
      </c>
      <c r="C201" s="7" t="s">
        <v>635</v>
      </c>
      <c r="D201" s="20">
        <v>64618</v>
      </c>
      <c r="E201" s="22">
        <v>0.68100000000000005</v>
      </c>
      <c r="F201" s="22">
        <v>0.34050000000000002</v>
      </c>
      <c r="G201" s="23">
        <v>12.6</v>
      </c>
      <c r="H201" s="24">
        <v>592</v>
      </c>
      <c r="I201" s="25">
        <v>814.1</v>
      </c>
      <c r="J201" s="24">
        <v>22002</v>
      </c>
    </row>
    <row r="202" spans="1:10" ht="15" customHeight="1">
      <c r="A202" s="6" t="s">
        <v>672</v>
      </c>
      <c r="B202" s="7" t="s">
        <v>673</v>
      </c>
      <c r="C202" s="7" t="s">
        <v>635</v>
      </c>
      <c r="D202" s="20">
        <v>64618</v>
      </c>
      <c r="E202" s="22">
        <v>0.67059999999999997</v>
      </c>
      <c r="F202" s="22">
        <v>0.33529999999999999</v>
      </c>
      <c r="G202" s="23">
        <v>12.4</v>
      </c>
      <c r="H202" s="24">
        <v>583</v>
      </c>
      <c r="I202" s="25">
        <v>801.7</v>
      </c>
      <c r="J202" s="24">
        <v>21666</v>
      </c>
    </row>
    <row r="203" spans="1:10" ht="15" customHeight="1">
      <c r="A203" s="6" t="s">
        <v>674</v>
      </c>
      <c r="B203" s="7" t="s">
        <v>675</v>
      </c>
      <c r="C203" s="7" t="s">
        <v>635</v>
      </c>
      <c r="D203" s="20">
        <v>64618</v>
      </c>
      <c r="E203" s="22">
        <v>0.60029999999999994</v>
      </c>
      <c r="F203" s="22">
        <v>0.30020000000000002</v>
      </c>
      <c r="G203" s="23">
        <v>11.1</v>
      </c>
      <c r="H203" s="24">
        <v>522</v>
      </c>
      <c r="I203" s="25">
        <v>717.6</v>
      </c>
      <c r="J203" s="24">
        <v>19395</v>
      </c>
    </row>
    <row r="204" spans="1:10" ht="15" customHeight="1">
      <c r="A204" s="6" t="s">
        <v>676</v>
      </c>
      <c r="B204" s="7" t="s">
        <v>677</v>
      </c>
      <c r="C204" s="7" t="s">
        <v>635</v>
      </c>
      <c r="D204" s="20">
        <v>64618</v>
      </c>
      <c r="E204" s="22">
        <v>0.64810000000000001</v>
      </c>
      <c r="F204" s="22">
        <v>0.3241</v>
      </c>
      <c r="G204" s="23">
        <v>12</v>
      </c>
      <c r="H204" s="24">
        <v>564</v>
      </c>
      <c r="I204" s="25">
        <v>774.8</v>
      </c>
      <c r="J204" s="24">
        <v>20939</v>
      </c>
    </row>
    <row r="205" spans="1:10" ht="15" customHeight="1">
      <c r="A205" s="6" t="s">
        <v>678</v>
      </c>
      <c r="B205" s="7" t="s">
        <v>679</v>
      </c>
      <c r="C205" s="7" t="s">
        <v>635</v>
      </c>
      <c r="D205" s="20">
        <v>64618</v>
      </c>
      <c r="E205" s="22">
        <v>0.63200000000000001</v>
      </c>
      <c r="F205" s="22">
        <v>0.316</v>
      </c>
      <c r="G205" s="23">
        <v>11.7</v>
      </c>
      <c r="H205" s="24">
        <v>550</v>
      </c>
      <c r="I205" s="25">
        <v>755.5</v>
      </c>
      <c r="J205" s="24">
        <v>20419</v>
      </c>
    </row>
    <row r="206" spans="1:10" ht="15" customHeight="1">
      <c r="A206" s="6" t="s">
        <v>680</v>
      </c>
      <c r="B206" s="7" t="s">
        <v>681</v>
      </c>
      <c r="C206" s="7" t="s">
        <v>635</v>
      </c>
      <c r="D206" s="20">
        <v>64618</v>
      </c>
      <c r="E206" s="22">
        <v>0.60029999999999994</v>
      </c>
      <c r="F206" s="22">
        <v>0.30020000000000002</v>
      </c>
      <c r="G206" s="23">
        <v>11.1</v>
      </c>
      <c r="H206" s="24">
        <v>522</v>
      </c>
      <c r="I206" s="25">
        <v>717.6</v>
      </c>
      <c r="J206" s="24">
        <v>19395</v>
      </c>
    </row>
    <row r="207" spans="1:10" ht="15" customHeight="1">
      <c r="A207" s="6" t="s">
        <v>682</v>
      </c>
      <c r="B207" s="7" t="s">
        <v>683</v>
      </c>
      <c r="C207" s="7" t="s">
        <v>635</v>
      </c>
      <c r="D207" s="20">
        <v>64618</v>
      </c>
      <c r="E207" s="22">
        <v>0.67989999999999995</v>
      </c>
      <c r="F207" s="22">
        <v>0.33989999999999998</v>
      </c>
      <c r="G207" s="23">
        <v>12.6</v>
      </c>
      <c r="H207" s="24">
        <v>591</v>
      </c>
      <c r="I207" s="25">
        <v>812.8</v>
      </c>
      <c r="J207" s="24">
        <v>21967</v>
      </c>
    </row>
    <row r="208" spans="1:10" ht="15" customHeight="1">
      <c r="A208" s="6" t="s">
        <v>684</v>
      </c>
      <c r="B208" s="7" t="s">
        <v>685</v>
      </c>
      <c r="C208" s="7" t="s">
        <v>635</v>
      </c>
      <c r="D208" s="20">
        <v>64618</v>
      </c>
      <c r="E208" s="22">
        <v>0.63349999999999995</v>
      </c>
      <c r="F208" s="22">
        <v>0.31680000000000003</v>
      </c>
      <c r="G208" s="23">
        <v>11.7</v>
      </c>
      <c r="H208" s="24">
        <v>551</v>
      </c>
      <c r="I208" s="25">
        <v>757.3</v>
      </c>
      <c r="J208" s="24">
        <v>20468</v>
      </c>
    </row>
    <row r="209" spans="1:10" ht="15" customHeight="1">
      <c r="A209" s="6" t="s">
        <v>686</v>
      </c>
      <c r="B209" s="7" t="s">
        <v>687</v>
      </c>
      <c r="C209" s="7" t="s">
        <v>635</v>
      </c>
      <c r="D209" s="20">
        <v>64618</v>
      </c>
      <c r="E209" s="22">
        <v>0.65080000000000005</v>
      </c>
      <c r="F209" s="22">
        <v>0.32540000000000002</v>
      </c>
      <c r="G209" s="23">
        <v>12</v>
      </c>
      <c r="H209" s="24">
        <v>566</v>
      </c>
      <c r="I209" s="25">
        <v>778</v>
      </c>
      <c r="J209" s="24">
        <v>21027</v>
      </c>
    </row>
    <row r="210" spans="1:10" ht="15" customHeight="1">
      <c r="A210" s="6" t="s">
        <v>688</v>
      </c>
      <c r="B210" s="7" t="s">
        <v>689</v>
      </c>
      <c r="C210" s="7" t="s">
        <v>635</v>
      </c>
      <c r="D210" s="20">
        <v>64618</v>
      </c>
      <c r="E210" s="22">
        <v>0.625</v>
      </c>
      <c r="F210" s="22">
        <v>0.3125</v>
      </c>
      <c r="G210" s="23">
        <v>11.6</v>
      </c>
      <c r="H210" s="24">
        <v>543</v>
      </c>
      <c r="I210" s="25">
        <v>747.1</v>
      </c>
      <c r="J210" s="24">
        <v>20193</v>
      </c>
    </row>
    <row r="211" spans="1:10" ht="15" customHeight="1">
      <c r="A211" s="6" t="s">
        <v>690</v>
      </c>
      <c r="B211" s="7" t="s">
        <v>691</v>
      </c>
      <c r="C211" s="7" t="s">
        <v>635</v>
      </c>
      <c r="D211" s="20">
        <v>64618</v>
      </c>
      <c r="E211" s="22">
        <v>0.68100000000000005</v>
      </c>
      <c r="F211" s="22">
        <v>0.34050000000000002</v>
      </c>
      <c r="G211" s="23">
        <v>12.6</v>
      </c>
      <c r="H211" s="24">
        <v>592</v>
      </c>
      <c r="I211" s="25">
        <v>814.1</v>
      </c>
      <c r="J211" s="24">
        <v>22002</v>
      </c>
    </row>
    <row r="212" spans="1:10" ht="15" customHeight="1">
      <c r="A212" s="6" t="s">
        <v>692</v>
      </c>
      <c r="B212" s="7" t="s">
        <v>693</v>
      </c>
      <c r="C212" s="7" t="s">
        <v>635</v>
      </c>
      <c r="D212" s="20">
        <v>64618</v>
      </c>
      <c r="E212" s="22">
        <v>0.65700000000000003</v>
      </c>
      <c r="F212" s="22">
        <v>0.32850000000000001</v>
      </c>
      <c r="G212" s="23">
        <v>12.2</v>
      </c>
      <c r="H212" s="24">
        <v>571</v>
      </c>
      <c r="I212" s="25">
        <v>785.4</v>
      </c>
      <c r="J212" s="24">
        <v>21227</v>
      </c>
    </row>
    <row r="213" spans="1:10" ht="15" customHeight="1">
      <c r="A213" s="6" t="s">
        <v>694</v>
      </c>
      <c r="B213" s="7" t="s">
        <v>695</v>
      </c>
      <c r="C213" s="7" t="s">
        <v>635</v>
      </c>
      <c r="D213" s="20">
        <v>64618</v>
      </c>
      <c r="E213" s="22">
        <v>0.64319999999999999</v>
      </c>
      <c r="F213" s="22">
        <v>0.3216</v>
      </c>
      <c r="G213" s="23">
        <v>11.9</v>
      </c>
      <c r="H213" s="24">
        <v>559</v>
      </c>
      <c r="I213" s="25">
        <v>768.9</v>
      </c>
      <c r="J213" s="24">
        <v>20781</v>
      </c>
    </row>
    <row r="214" spans="1:10" ht="15" customHeight="1">
      <c r="A214" s="6" t="s">
        <v>696</v>
      </c>
      <c r="B214" s="7" t="s">
        <v>689</v>
      </c>
      <c r="C214" s="7" t="s">
        <v>635</v>
      </c>
      <c r="D214" s="20">
        <v>64618</v>
      </c>
      <c r="E214" s="22">
        <v>0.625</v>
      </c>
      <c r="F214" s="22">
        <v>0.3125</v>
      </c>
      <c r="G214" s="23">
        <v>11.6</v>
      </c>
      <c r="H214" s="24">
        <v>543</v>
      </c>
      <c r="I214" s="25">
        <v>747.1</v>
      </c>
      <c r="J214" s="24">
        <v>20193</v>
      </c>
    </row>
    <row r="215" spans="1:10" ht="15" customHeight="1">
      <c r="A215" s="6" t="s">
        <v>697</v>
      </c>
      <c r="B215" s="7" t="s">
        <v>698</v>
      </c>
      <c r="C215" s="7" t="s">
        <v>635</v>
      </c>
      <c r="D215" s="20">
        <v>64618</v>
      </c>
      <c r="E215" s="22">
        <v>0.47010000000000002</v>
      </c>
      <c r="F215" s="22">
        <v>0.23499999999999999</v>
      </c>
      <c r="G215" s="23">
        <v>8.6999999999999993</v>
      </c>
      <c r="H215" s="24">
        <v>409</v>
      </c>
      <c r="I215" s="25">
        <v>562</v>
      </c>
      <c r="J215" s="24">
        <v>15188</v>
      </c>
    </row>
    <row r="216" spans="1:10" ht="15" customHeight="1">
      <c r="A216" s="6" t="s">
        <v>699</v>
      </c>
      <c r="B216" s="7" t="s">
        <v>700</v>
      </c>
      <c r="C216" s="7" t="s">
        <v>635</v>
      </c>
      <c r="D216" s="20">
        <v>64618</v>
      </c>
      <c r="E216" s="22">
        <v>0.70569999999999999</v>
      </c>
      <c r="F216" s="22">
        <v>0.35289999999999999</v>
      </c>
      <c r="G216" s="23">
        <v>13.1</v>
      </c>
      <c r="H216" s="24">
        <v>614</v>
      </c>
      <c r="I216" s="25">
        <v>843.6</v>
      </c>
      <c r="J216" s="24">
        <v>22800</v>
      </c>
    </row>
    <row r="217" spans="1:10" ht="15" customHeight="1">
      <c r="A217" s="6" t="s">
        <v>701</v>
      </c>
      <c r="B217" s="7" t="s">
        <v>702</v>
      </c>
      <c r="C217" s="7" t="s">
        <v>703</v>
      </c>
      <c r="D217" s="20">
        <v>117750</v>
      </c>
      <c r="E217" s="22">
        <v>0.67510000000000003</v>
      </c>
      <c r="F217" s="22">
        <v>0.32400000000000001</v>
      </c>
      <c r="G217" s="23">
        <v>12</v>
      </c>
      <c r="H217" s="24">
        <v>564</v>
      </c>
      <c r="I217" s="25">
        <v>1411.8</v>
      </c>
      <c r="J217" s="24">
        <v>38157</v>
      </c>
    </row>
    <row r="218" spans="1:10" ht="15" customHeight="1">
      <c r="A218" s="6" t="s">
        <v>704</v>
      </c>
      <c r="B218" s="7" t="s">
        <v>705</v>
      </c>
      <c r="C218" s="7" t="s">
        <v>703</v>
      </c>
      <c r="D218" s="20">
        <v>117750</v>
      </c>
      <c r="E218" s="22">
        <v>0.66239999999999999</v>
      </c>
      <c r="F218" s="22">
        <v>0.318</v>
      </c>
      <c r="G218" s="23">
        <v>11.8</v>
      </c>
      <c r="H218" s="24">
        <v>553</v>
      </c>
      <c r="I218" s="25">
        <v>1385.2</v>
      </c>
      <c r="J218" s="24">
        <v>37439</v>
      </c>
    </row>
    <row r="219" spans="1:10" ht="15" customHeight="1">
      <c r="A219" s="6" t="s">
        <v>706</v>
      </c>
      <c r="B219" s="7" t="s">
        <v>707</v>
      </c>
      <c r="C219" s="7" t="s">
        <v>703</v>
      </c>
      <c r="D219" s="20">
        <v>117750</v>
      </c>
      <c r="E219" s="22">
        <v>0.65449999999999997</v>
      </c>
      <c r="F219" s="22">
        <v>0.31419999999999998</v>
      </c>
      <c r="G219" s="23">
        <v>11.6</v>
      </c>
      <c r="H219" s="24">
        <v>546</v>
      </c>
      <c r="I219" s="25">
        <v>1368.7</v>
      </c>
      <c r="J219" s="24">
        <v>36992</v>
      </c>
    </row>
    <row r="220" spans="1:10" ht="15" customHeight="1">
      <c r="A220" s="6" t="s">
        <v>708</v>
      </c>
      <c r="B220" s="7" t="s">
        <v>709</v>
      </c>
      <c r="C220" s="7" t="s">
        <v>703</v>
      </c>
      <c r="D220" s="20">
        <v>117750</v>
      </c>
      <c r="E220" s="22">
        <v>0.66659999999999997</v>
      </c>
      <c r="F220" s="22">
        <v>0.32</v>
      </c>
      <c r="G220" s="23">
        <v>11.8</v>
      </c>
      <c r="H220" s="24">
        <v>556</v>
      </c>
      <c r="I220" s="25">
        <v>1394</v>
      </c>
      <c r="J220" s="24">
        <v>37676</v>
      </c>
    </row>
    <row r="221" spans="1:10" ht="15" customHeight="1">
      <c r="A221" s="6" t="s">
        <v>710</v>
      </c>
      <c r="B221" s="7" t="s">
        <v>711</v>
      </c>
      <c r="C221" s="7" t="s">
        <v>703</v>
      </c>
      <c r="D221" s="20">
        <v>117750</v>
      </c>
      <c r="E221" s="22">
        <v>0.76629999999999998</v>
      </c>
      <c r="F221" s="22">
        <v>0.36780000000000002</v>
      </c>
      <c r="G221" s="23">
        <v>13.6</v>
      </c>
      <c r="H221" s="24">
        <v>640</v>
      </c>
      <c r="I221" s="25">
        <v>1602.5</v>
      </c>
      <c r="J221" s="24">
        <v>43311</v>
      </c>
    </row>
    <row r="222" spans="1:10" ht="15" customHeight="1">
      <c r="A222" s="6" t="s">
        <v>712</v>
      </c>
      <c r="B222" s="7" t="s">
        <v>713</v>
      </c>
      <c r="C222" s="7" t="s">
        <v>703</v>
      </c>
      <c r="D222" s="20">
        <v>117750</v>
      </c>
      <c r="E222" s="22">
        <v>0.75960000000000005</v>
      </c>
      <c r="F222" s="22">
        <v>0.36459999999999998</v>
      </c>
      <c r="G222" s="23">
        <v>13.5</v>
      </c>
      <c r="H222" s="24">
        <v>634</v>
      </c>
      <c r="I222" s="25">
        <v>1588.5</v>
      </c>
      <c r="J222" s="24">
        <v>42933</v>
      </c>
    </row>
    <row r="223" spans="1:10" ht="15" customHeight="1">
      <c r="A223" s="6" t="s">
        <v>714</v>
      </c>
      <c r="B223" s="7" t="s">
        <v>715</v>
      </c>
      <c r="C223" s="7" t="s">
        <v>703</v>
      </c>
      <c r="D223" s="20">
        <v>117750</v>
      </c>
      <c r="E223" s="22">
        <v>0.73219999999999996</v>
      </c>
      <c r="F223" s="22">
        <v>0.35149999999999998</v>
      </c>
      <c r="G223" s="23">
        <v>13</v>
      </c>
      <c r="H223" s="24">
        <v>611</v>
      </c>
      <c r="I223" s="25">
        <v>1531.2</v>
      </c>
      <c r="J223" s="24">
        <v>41384</v>
      </c>
    </row>
    <row r="224" spans="1:10" ht="15" customHeight="1">
      <c r="A224" s="6" t="s">
        <v>716</v>
      </c>
      <c r="B224" s="7" t="s">
        <v>717</v>
      </c>
      <c r="C224" s="7" t="s">
        <v>703</v>
      </c>
      <c r="D224" s="20">
        <v>117750</v>
      </c>
      <c r="E224" s="22">
        <v>0.75090000000000001</v>
      </c>
      <c r="F224" s="22">
        <v>0.3604</v>
      </c>
      <c r="G224" s="23">
        <v>13.3</v>
      </c>
      <c r="H224" s="24">
        <v>627</v>
      </c>
      <c r="I224" s="25">
        <v>1570.3</v>
      </c>
      <c r="J224" s="24">
        <v>42441</v>
      </c>
    </row>
    <row r="225" spans="1:10" ht="15" customHeight="1">
      <c r="A225" s="6" t="s">
        <v>718</v>
      </c>
      <c r="B225" s="7" t="s">
        <v>719</v>
      </c>
      <c r="C225" s="7" t="s">
        <v>703</v>
      </c>
      <c r="D225" s="20">
        <v>117750</v>
      </c>
      <c r="E225" s="22">
        <v>0.73160000000000003</v>
      </c>
      <c r="F225" s="22">
        <v>0.35120000000000001</v>
      </c>
      <c r="G225" s="23">
        <v>13</v>
      </c>
      <c r="H225" s="24">
        <v>611</v>
      </c>
      <c r="I225" s="25">
        <v>1530</v>
      </c>
      <c r="J225" s="24">
        <v>41350</v>
      </c>
    </row>
    <row r="226" spans="1:10" ht="15" customHeight="1">
      <c r="A226" s="6" t="s">
        <v>720</v>
      </c>
      <c r="B226" s="7" t="s">
        <v>721</v>
      </c>
      <c r="C226" s="7" t="s">
        <v>703</v>
      </c>
      <c r="D226" s="20">
        <v>117750</v>
      </c>
      <c r="E226" s="22">
        <v>0.68020000000000003</v>
      </c>
      <c r="F226" s="22">
        <v>0.32650000000000001</v>
      </c>
      <c r="G226" s="23">
        <v>12.1</v>
      </c>
      <c r="H226" s="24">
        <v>568</v>
      </c>
      <c r="I226" s="25">
        <v>1422.5</v>
      </c>
      <c r="J226" s="24">
        <v>38445</v>
      </c>
    </row>
    <row r="227" spans="1:10" ht="15" customHeight="1">
      <c r="A227" s="6" t="s">
        <v>722</v>
      </c>
      <c r="B227" s="7" t="s">
        <v>723</v>
      </c>
      <c r="C227" s="7" t="s">
        <v>703</v>
      </c>
      <c r="D227" s="20">
        <v>117750</v>
      </c>
      <c r="E227" s="22">
        <v>0.73140000000000005</v>
      </c>
      <c r="F227" s="22">
        <v>0.35110000000000002</v>
      </c>
      <c r="G227" s="23">
        <v>13</v>
      </c>
      <c r="H227" s="24">
        <v>611</v>
      </c>
      <c r="I227" s="25">
        <v>1529.5</v>
      </c>
      <c r="J227" s="24">
        <v>41339</v>
      </c>
    </row>
    <row r="228" spans="1:10" ht="15" customHeight="1">
      <c r="A228" s="6" t="s">
        <v>724</v>
      </c>
      <c r="B228" s="7" t="s">
        <v>725</v>
      </c>
      <c r="C228" s="7" t="s">
        <v>703</v>
      </c>
      <c r="D228" s="20">
        <v>117750</v>
      </c>
      <c r="E228" s="22">
        <v>0.6411</v>
      </c>
      <c r="F228" s="22">
        <v>0.30769999999999997</v>
      </c>
      <c r="G228" s="23">
        <v>11.4</v>
      </c>
      <c r="H228" s="24">
        <v>535</v>
      </c>
      <c r="I228" s="25">
        <v>1340.7</v>
      </c>
      <c r="J228" s="24">
        <v>36235</v>
      </c>
    </row>
    <row r="229" spans="1:10" ht="15" customHeight="1">
      <c r="A229" s="6" t="s">
        <v>726</v>
      </c>
      <c r="B229" s="7" t="s">
        <v>727</v>
      </c>
      <c r="C229" s="7" t="s">
        <v>703</v>
      </c>
      <c r="D229" s="20">
        <v>117750</v>
      </c>
      <c r="E229" s="22">
        <v>0.64839999999999998</v>
      </c>
      <c r="F229" s="22">
        <v>0.31119999999999998</v>
      </c>
      <c r="G229" s="23">
        <v>11.5</v>
      </c>
      <c r="H229" s="24">
        <v>541</v>
      </c>
      <c r="I229" s="25">
        <v>1356</v>
      </c>
      <c r="J229" s="24">
        <v>36648</v>
      </c>
    </row>
    <row r="230" spans="1:10" ht="15" customHeight="1">
      <c r="A230" s="6" t="s">
        <v>728</v>
      </c>
      <c r="B230" s="7" t="s">
        <v>729</v>
      </c>
      <c r="C230" s="7" t="s">
        <v>703</v>
      </c>
      <c r="D230" s="20">
        <v>117750</v>
      </c>
      <c r="E230" s="22">
        <v>0.66659999999999997</v>
      </c>
      <c r="F230" s="22">
        <v>0.32</v>
      </c>
      <c r="G230" s="23">
        <v>11.8</v>
      </c>
      <c r="H230" s="24">
        <v>556</v>
      </c>
      <c r="I230" s="25">
        <v>1394</v>
      </c>
      <c r="J230" s="24">
        <v>37676</v>
      </c>
    </row>
    <row r="231" spans="1:10" ht="15" customHeight="1">
      <c r="A231" s="6" t="s">
        <v>730</v>
      </c>
      <c r="B231" s="7" t="s">
        <v>731</v>
      </c>
      <c r="C231" s="7" t="s">
        <v>703</v>
      </c>
      <c r="D231" s="20">
        <v>117750</v>
      </c>
      <c r="E231" s="22">
        <v>0.66759999999999997</v>
      </c>
      <c r="F231" s="22">
        <v>0.32040000000000002</v>
      </c>
      <c r="G231" s="23">
        <v>11.9</v>
      </c>
      <c r="H231" s="24">
        <v>557</v>
      </c>
      <c r="I231" s="25">
        <v>1396.1</v>
      </c>
      <c r="J231" s="24">
        <v>37733</v>
      </c>
    </row>
    <row r="232" spans="1:10" ht="15" customHeight="1">
      <c r="A232" s="6" t="s">
        <v>732</v>
      </c>
      <c r="B232" s="7" t="s">
        <v>733</v>
      </c>
      <c r="C232" s="7" t="s">
        <v>703</v>
      </c>
      <c r="D232" s="20">
        <v>117750</v>
      </c>
      <c r="E232" s="22">
        <v>0.64059999999999995</v>
      </c>
      <c r="F232" s="22">
        <v>0.3075</v>
      </c>
      <c r="G232" s="23">
        <v>11.4</v>
      </c>
      <c r="H232" s="24">
        <v>535</v>
      </c>
      <c r="I232" s="25">
        <v>1339.6</v>
      </c>
      <c r="J232" s="24">
        <v>36207</v>
      </c>
    </row>
    <row r="233" spans="1:10" ht="15" customHeight="1">
      <c r="A233" s="6" t="s">
        <v>734</v>
      </c>
      <c r="B233" s="7" t="s">
        <v>735</v>
      </c>
      <c r="C233" s="7" t="s">
        <v>703</v>
      </c>
      <c r="D233" s="20">
        <v>117750</v>
      </c>
      <c r="E233" s="22">
        <v>0.67390000000000005</v>
      </c>
      <c r="F233" s="22">
        <v>0.32350000000000001</v>
      </c>
      <c r="G233" s="23">
        <v>12</v>
      </c>
      <c r="H233" s="24">
        <v>563</v>
      </c>
      <c r="I233" s="25">
        <v>1409.3</v>
      </c>
      <c r="J233" s="24">
        <v>38089</v>
      </c>
    </row>
    <row r="234" spans="1:10" ht="15" customHeight="1">
      <c r="A234" s="6" t="s">
        <v>736</v>
      </c>
      <c r="B234" s="7" t="s">
        <v>737</v>
      </c>
      <c r="C234" s="7" t="s">
        <v>703</v>
      </c>
      <c r="D234" s="20">
        <v>117750</v>
      </c>
      <c r="E234" s="22">
        <v>0.72419999999999995</v>
      </c>
      <c r="F234" s="22">
        <v>0.34760000000000002</v>
      </c>
      <c r="G234" s="23">
        <v>12.9</v>
      </c>
      <c r="H234" s="24">
        <v>605</v>
      </c>
      <c r="I234" s="25">
        <v>1514.5</v>
      </c>
      <c r="J234" s="24">
        <v>40932</v>
      </c>
    </row>
    <row r="235" spans="1:10" ht="15" customHeight="1">
      <c r="A235" s="6" t="s">
        <v>738</v>
      </c>
      <c r="B235" s="7" t="s">
        <v>739</v>
      </c>
      <c r="C235" s="7" t="s">
        <v>703</v>
      </c>
      <c r="D235" s="20">
        <v>117750</v>
      </c>
      <c r="E235" s="22">
        <v>0.71279999999999999</v>
      </c>
      <c r="F235" s="22">
        <v>0.34210000000000002</v>
      </c>
      <c r="G235" s="23">
        <v>12.7</v>
      </c>
      <c r="H235" s="24">
        <v>595</v>
      </c>
      <c r="I235" s="25">
        <v>1490.6</v>
      </c>
      <c r="J235" s="24">
        <v>40287</v>
      </c>
    </row>
    <row r="236" spans="1:10" ht="15" customHeight="1">
      <c r="A236" s="6" t="s">
        <v>740</v>
      </c>
      <c r="B236" s="7" t="s">
        <v>741</v>
      </c>
      <c r="C236" s="7" t="s">
        <v>703</v>
      </c>
      <c r="D236" s="20">
        <v>117750</v>
      </c>
      <c r="E236" s="22">
        <v>0.70779999999999998</v>
      </c>
      <c r="F236" s="22">
        <v>0.3397</v>
      </c>
      <c r="G236" s="23">
        <v>12.6</v>
      </c>
      <c r="H236" s="24">
        <v>591</v>
      </c>
      <c r="I236" s="25">
        <v>1480.2</v>
      </c>
      <c r="J236" s="24">
        <v>40005</v>
      </c>
    </row>
    <row r="237" spans="1:10" ht="15" customHeight="1">
      <c r="A237" s="6" t="s">
        <v>742</v>
      </c>
      <c r="B237" s="7" t="s">
        <v>743</v>
      </c>
      <c r="C237" s="7" t="s">
        <v>744</v>
      </c>
      <c r="D237" s="20">
        <v>107857</v>
      </c>
      <c r="E237" s="22">
        <v>0.76839999999999997</v>
      </c>
      <c r="F237" s="22">
        <v>0.36880000000000002</v>
      </c>
      <c r="G237" s="23">
        <v>13.6</v>
      </c>
      <c r="H237" s="24">
        <v>641</v>
      </c>
      <c r="I237" s="25">
        <v>1471.9</v>
      </c>
      <c r="J237" s="24">
        <v>39781</v>
      </c>
    </row>
    <row r="238" spans="1:10" ht="15" customHeight="1">
      <c r="A238" s="6" t="s">
        <v>745</v>
      </c>
      <c r="B238" s="7" t="s">
        <v>746</v>
      </c>
      <c r="C238" s="7" t="s">
        <v>744</v>
      </c>
      <c r="D238" s="20">
        <v>107857</v>
      </c>
      <c r="E238" s="22">
        <v>0.76490000000000002</v>
      </c>
      <c r="F238" s="22">
        <v>0.36720000000000003</v>
      </c>
      <c r="G238" s="23">
        <v>13.6</v>
      </c>
      <c r="H238" s="24">
        <v>638</v>
      </c>
      <c r="I238" s="25">
        <v>1465.2</v>
      </c>
      <c r="J238" s="24">
        <v>39600</v>
      </c>
    </row>
    <row r="239" spans="1:10" ht="15" customHeight="1">
      <c r="A239" s="6" t="s">
        <v>747</v>
      </c>
      <c r="B239" s="7" t="s">
        <v>748</v>
      </c>
      <c r="C239" s="7" t="s">
        <v>744</v>
      </c>
      <c r="D239" s="20">
        <v>107857</v>
      </c>
      <c r="E239" s="22">
        <v>0.74739999999999995</v>
      </c>
      <c r="F239" s="22">
        <v>0.35880000000000001</v>
      </c>
      <c r="G239" s="23">
        <v>13.3</v>
      </c>
      <c r="H239" s="24">
        <v>624</v>
      </c>
      <c r="I239" s="25">
        <v>1431.7</v>
      </c>
      <c r="J239" s="24">
        <v>38694</v>
      </c>
    </row>
    <row r="240" spans="1:10" ht="15" customHeight="1">
      <c r="A240" s="6" t="s">
        <v>749</v>
      </c>
      <c r="B240" s="7" t="s">
        <v>750</v>
      </c>
      <c r="C240" s="7" t="s">
        <v>744</v>
      </c>
      <c r="D240" s="20">
        <v>107857</v>
      </c>
      <c r="E240" s="22">
        <v>0.74250000000000005</v>
      </c>
      <c r="F240" s="22">
        <v>0.35639999999999999</v>
      </c>
      <c r="G240" s="23">
        <v>13.2</v>
      </c>
      <c r="H240" s="24">
        <v>620</v>
      </c>
      <c r="I240" s="25">
        <v>1422.3</v>
      </c>
      <c r="J240" s="24">
        <v>38440</v>
      </c>
    </row>
    <row r="241" spans="1:10" ht="15" customHeight="1">
      <c r="A241" s="6" t="s">
        <v>751</v>
      </c>
      <c r="B241" s="7" t="s">
        <v>752</v>
      </c>
      <c r="C241" s="7" t="s">
        <v>744</v>
      </c>
      <c r="D241" s="20">
        <v>107857</v>
      </c>
      <c r="E241" s="22">
        <v>0.77700000000000002</v>
      </c>
      <c r="F241" s="22">
        <v>0.373</v>
      </c>
      <c r="G241" s="23">
        <v>13.8</v>
      </c>
      <c r="H241" s="24">
        <v>649</v>
      </c>
      <c r="I241" s="25">
        <v>1488.4</v>
      </c>
      <c r="J241" s="24">
        <v>40226</v>
      </c>
    </row>
    <row r="242" spans="1:10" ht="15" customHeight="1">
      <c r="A242" s="6" t="s">
        <v>753</v>
      </c>
      <c r="B242" s="7" t="s">
        <v>754</v>
      </c>
      <c r="C242" s="7" t="s">
        <v>744</v>
      </c>
      <c r="D242" s="20">
        <v>107857</v>
      </c>
      <c r="E242" s="22">
        <v>0.72230000000000005</v>
      </c>
      <c r="F242" s="22">
        <v>0.34670000000000001</v>
      </c>
      <c r="G242" s="23">
        <v>12.8</v>
      </c>
      <c r="H242" s="24">
        <v>603</v>
      </c>
      <c r="I242" s="25">
        <v>1383.6</v>
      </c>
      <c r="J242" s="24">
        <v>37394</v>
      </c>
    </row>
    <row r="243" spans="1:10" ht="15" customHeight="1">
      <c r="A243" s="6" t="s">
        <v>755</v>
      </c>
      <c r="B243" s="7" t="s">
        <v>756</v>
      </c>
      <c r="C243" s="7" t="s">
        <v>744</v>
      </c>
      <c r="D243" s="20">
        <v>107857</v>
      </c>
      <c r="E243" s="22">
        <v>0.76349999999999996</v>
      </c>
      <c r="F243" s="22">
        <v>0.36649999999999999</v>
      </c>
      <c r="G243" s="23">
        <v>13.6</v>
      </c>
      <c r="H243" s="24">
        <v>637</v>
      </c>
      <c r="I243" s="25">
        <v>1462.5</v>
      </c>
      <c r="J243" s="24">
        <v>39527</v>
      </c>
    </row>
    <row r="244" spans="1:10" ht="15" customHeight="1">
      <c r="A244" s="6" t="s">
        <v>757</v>
      </c>
      <c r="B244" s="7" t="s">
        <v>758</v>
      </c>
      <c r="C244" s="7" t="s">
        <v>759</v>
      </c>
      <c r="D244" s="20">
        <v>42400</v>
      </c>
      <c r="E244" s="22">
        <v>0.3891</v>
      </c>
      <c r="F244" s="22">
        <v>0.23350000000000001</v>
      </c>
      <c r="G244" s="23">
        <v>8.6</v>
      </c>
      <c r="H244" s="24">
        <v>406</v>
      </c>
      <c r="I244" s="25">
        <v>366.3</v>
      </c>
      <c r="J244" s="24">
        <v>9899</v>
      </c>
    </row>
    <row r="245" spans="1:10" ht="15" customHeight="1">
      <c r="A245" s="6" t="s">
        <v>760</v>
      </c>
      <c r="B245" s="7" t="s">
        <v>761</v>
      </c>
      <c r="C245" s="7" t="s">
        <v>759</v>
      </c>
      <c r="D245" s="20">
        <v>42400</v>
      </c>
      <c r="E245" s="22">
        <v>0.33379999999999999</v>
      </c>
      <c r="F245" s="22">
        <v>0.20030000000000001</v>
      </c>
      <c r="G245" s="23">
        <v>7.4</v>
      </c>
      <c r="H245" s="24">
        <v>348</v>
      </c>
      <c r="I245" s="25">
        <v>314.2</v>
      </c>
      <c r="J245" s="24">
        <v>8492</v>
      </c>
    </row>
    <row r="246" spans="1:10" ht="15" customHeight="1">
      <c r="A246" s="6" t="s">
        <v>762</v>
      </c>
      <c r="B246" s="7" t="s">
        <v>763</v>
      </c>
      <c r="C246" s="7" t="s">
        <v>759</v>
      </c>
      <c r="D246" s="20">
        <v>42400</v>
      </c>
      <c r="E246" s="22">
        <v>0.31430000000000002</v>
      </c>
      <c r="F246" s="22">
        <v>0.18859999999999999</v>
      </c>
      <c r="G246" s="23">
        <v>7</v>
      </c>
      <c r="H246" s="24">
        <v>328</v>
      </c>
      <c r="I246" s="25">
        <v>295.8</v>
      </c>
      <c r="J246" s="24">
        <v>7996</v>
      </c>
    </row>
    <row r="247" spans="1:10" ht="15" customHeight="1">
      <c r="A247" s="6" t="s">
        <v>764</v>
      </c>
      <c r="B247" s="7" t="s">
        <v>765</v>
      </c>
      <c r="C247" s="7" t="s">
        <v>759</v>
      </c>
      <c r="D247" s="20">
        <v>42400</v>
      </c>
      <c r="E247" s="22">
        <v>0.2671</v>
      </c>
      <c r="F247" s="22">
        <v>0.1603</v>
      </c>
      <c r="G247" s="23">
        <v>5.9</v>
      </c>
      <c r="H247" s="24">
        <v>279</v>
      </c>
      <c r="I247" s="25">
        <v>251.4</v>
      </c>
      <c r="J247" s="24">
        <v>6795</v>
      </c>
    </row>
    <row r="248" spans="1:10" ht="15" customHeight="1">
      <c r="A248" s="6" t="s">
        <v>766</v>
      </c>
      <c r="B248" s="7" t="s">
        <v>767</v>
      </c>
      <c r="C248" s="7" t="s">
        <v>759</v>
      </c>
      <c r="D248" s="20">
        <v>42400</v>
      </c>
      <c r="E248" s="22">
        <v>0.31869999999999998</v>
      </c>
      <c r="F248" s="22">
        <v>0.19120000000000001</v>
      </c>
      <c r="G248" s="23">
        <v>7.1</v>
      </c>
      <c r="H248" s="24">
        <v>333</v>
      </c>
      <c r="I248" s="25">
        <v>300</v>
      </c>
      <c r="J248" s="24">
        <v>8108</v>
      </c>
    </row>
    <row r="249" spans="1:10" ht="15" customHeight="1">
      <c r="A249" s="6" t="s">
        <v>768</v>
      </c>
      <c r="B249" s="7" t="s">
        <v>769</v>
      </c>
      <c r="C249" s="7" t="s">
        <v>770</v>
      </c>
      <c r="D249" s="20">
        <v>64200</v>
      </c>
      <c r="E249" s="22">
        <v>0.32379999999999998</v>
      </c>
      <c r="F249" s="22">
        <v>0.18779999999999999</v>
      </c>
      <c r="G249" s="23">
        <v>6.9</v>
      </c>
      <c r="H249" s="24">
        <v>327</v>
      </c>
      <c r="I249" s="25">
        <v>446.1</v>
      </c>
      <c r="J249" s="24">
        <v>12057</v>
      </c>
    </row>
    <row r="250" spans="1:10" ht="15" customHeight="1">
      <c r="A250" s="6" t="s">
        <v>771</v>
      </c>
      <c r="B250" s="7" t="s">
        <v>772</v>
      </c>
      <c r="C250" s="7" t="s">
        <v>770</v>
      </c>
      <c r="D250" s="20">
        <v>64200</v>
      </c>
      <c r="E250" s="22">
        <v>0.32379999999999998</v>
      </c>
      <c r="F250" s="22">
        <v>0.18779999999999999</v>
      </c>
      <c r="G250" s="23">
        <v>6.9</v>
      </c>
      <c r="H250" s="24">
        <v>327</v>
      </c>
      <c r="I250" s="25">
        <v>446.1</v>
      </c>
      <c r="J250" s="24">
        <v>12057</v>
      </c>
    </row>
    <row r="251" spans="1:10" ht="15" customHeight="1">
      <c r="A251" s="6" t="s">
        <v>773</v>
      </c>
      <c r="B251" s="7" t="s">
        <v>774</v>
      </c>
      <c r="C251" s="7" t="s">
        <v>770</v>
      </c>
      <c r="D251" s="20">
        <v>64200</v>
      </c>
      <c r="E251" s="22">
        <v>0.35220000000000001</v>
      </c>
      <c r="F251" s="22">
        <v>0.20430000000000001</v>
      </c>
      <c r="G251" s="23">
        <v>7.6</v>
      </c>
      <c r="H251" s="24">
        <v>355</v>
      </c>
      <c r="I251" s="25">
        <v>485.2</v>
      </c>
      <c r="J251" s="24">
        <v>13115</v>
      </c>
    </row>
    <row r="252" spans="1:10" ht="15" customHeight="1">
      <c r="A252" s="6" t="s">
        <v>775</v>
      </c>
      <c r="B252" s="7" t="s">
        <v>776</v>
      </c>
      <c r="C252" s="7" t="s">
        <v>770</v>
      </c>
      <c r="D252" s="20">
        <v>64200</v>
      </c>
      <c r="E252" s="22">
        <v>0.35970000000000002</v>
      </c>
      <c r="F252" s="22">
        <v>0.20860000000000001</v>
      </c>
      <c r="G252" s="23">
        <v>7.7</v>
      </c>
      <c r="H252" s="24">
        <v>363</v>
      </c>
      <c r="I252" s="25">
        <v>495.6</v>
      </c>
      <c r="J252" s="24">
        <v>13394</v>
      </c>
    </row>
    <row r="253" spans="1:10" ht="15" customHeight="1">
      <c r="A253" s="6" t="s">
        <v>777</v>
      </c>
      <c r="B253" s="7" t="s">
        <v>778</v>
      </c>
      <c r="C253" s="7" t="s">
        <v>770</v>
      </c>
      <c r="D253" s="20">
        <v>64200</v>
      </c>
      <c r="E253" s="22">
        <v>0.45229999999999998</v>
      </c>
      <c r="F253" s="22">
        <v>0.26229999999999998</v>
      </c>
      <c r="G253" s="23">
        <v>9.6999999999999993</v>
      </c>
      <c r="H253" s="24">
        <v>456</v>
      </c>
      <c r="I253" s="25">
        <v>623.1</v>
      </c>
      <c r="J253" s="24">
        <v>16842</v>
      </c>
    </row>
    <row r="254" spans="1:10" ht="15" customHeight="1">
      <c r="A254" s="6" t="s">
        <v>779</v>
      </c>
      <c r="B254" s="7" t="s">
        <v>780</v>
      </c>
      <c r="C254" s="7" t="s">
        <v>770</v>
      </c>
      <c r="D254" s="20">
        <v>64200</v>
      </c>
      <c r="E254" s="22">
        <v>0.45190000000000002</v>
      </c>
      <c r="F254" s="22">
        <v>0.2621</v>
      </c>
      <c r="G254" s="23">
        <v>9.6999999999999993</v>
      </c>
      <c r="H254" s="24">
        <v>456</v>
      </c>
      <c r="I254" s="25">
        <v>622.6</v>
      </c>
      <c r="J254" s="24">
        <v>16827</v>
      </c>
    </row>
    <row r="255" spans="1:10" ht="15" customHeight="1">
      <c r="A255" s="6" t="s">
        <v>781</v>
      </c>
      <c r="B255" s="7" t="s">
        <v>782</v>
      </c>
      <c r="C255" s="7" t="s">
        <v>770</v>
      </c>
      <c r="D255" s="20">
        <v>64200</v>
      </c>
      <c r="E255" s="22">
        <v>0.3412</v>
      </c>
      <c r="F255" s="22">
        <v>0.19789999999999999</v>
      </c>
      <c r="G255" s="23">
        <v>7.3</v>
      </c>
      <c r="H255" s="24">
        <v>344</v>
      </c>
      <c r="I255" s="25">
        <v>470.1</v>
      </c>
      <c r="J255" s="24">
        <v>12705</v>
      </c>
    </row>
    <row r="256" spans="1:10" ht="15" customHeight="1">
      <c r="A256" s="6" t="s">
        <v>783</v>
      </c>
      <c r="B256" s="7" t="s">
        <v>784</v>
      </c>
      <c r="C256" s="7" t="s">
        <v>770</v>
      </c>
      <c r="D256" s="20">
        <v>64200</v>
      </c>
      <c r="E256" s="22">
        <v>0.29709999999999998</v>
      </c>
      <c r="F256" s="22">
        <v>0.17230000000000001</v>
      </c>
      <c r="G256" s="23">
        <v>6.4</v>
      </c>
      <c r="H256" s="24">
        <v>300</v>
      </c>
      <c r="I256" s="25">
        <v>409.3</v>
      </c>
      <c r="J256" s="24">
        <v>11063</v>
      </c>
    </row>
    <row r="257" spans="1:10" ht="15" customHeight="1">
      <c r="A257" s="6" t="s">
        <v>785</v>
      </c>
      <c r="B257" s="7" t="s">
        <v>786</v>
      </c>
      <c r="C257" s="7" t="s">
        <v>770</v>
      </c>
      <c r="D257" s="20">
        <v>64200</v>
      </c>
      <c r="E257" s="22">
        <v>0.51970000000000005</v>
      </c>
      <c r="F257" s="22">
        <v>0.3014</v>
      </c>
      <c r="G257" s="23">
        <v>11.2</v>
      </c>
      <c r="H257" s="24">
        <v>524</v>
      </c>
      <c r="I257" s="25">
        <v>716</v>
      </c>
      <c r="J257" s="24">
        <v>19352</v>
      </c>
    </row>
    <row r="258" spans="1:10" ht="15" customHeight="1">
      <c r="A258" s="6" t="s">
        <v>787</v>
      </c>
      <c r="B258" s="7" t="s">
        <v>788</v>
      </c>
      <c r="C258" s="7" t="s">
        <v>770</v>
      </c>
      <c r="D258" s="20">
        <v>64200</v>
      </c>
      <c r="E258" s="22">
        <v>0.3624</v>
      </c>
      <c r="F258" s="22">
        <v>0.2102</v>
      </c>
      <c r="G258" s="23">
        <v>7.8</v>
      </c>
      <c r="H258" s="24">
        <v>366</v>
      </c>
      <c r="I258" s="25">
        <v>499.3</v>
      </c>
      <c r="J258" s="24">
        <v>13494</v>
      </c>
    </row>
    <row r="259" spans="1:10" ht="15" customHeight="1">
      <c r="A259" s="6" t="s">
        <v>789</v>
      </c>
      <c r="B259" s="7" t="s">
        <v>790</v>
      </c>
      <c r="C259" s="7" t="s">
        <v>770</v>
      </c>
      <c r="D259" s="20">
        <v>64200</v>
      </c>
      <c r="E259" s="22">
        <v>0.45229999999999998</v>
      </c>
      <c r="F259" s="22">
        <v>0.26229999999999998</v>
      </c>
      <c r="G259" s="23">
        <v>9.6999999999999993</v>
      </c>
      <c r="H259" s="24">
        <v>456</v>
      </c>
      <c r="I259" s="25">
        <v>623.1</v>
      </c>
      <c r="J259" s="24">
        <v>16842</v>
      </c>
    </row>
    <row r="260" spans="1:10" ht="15" customHeight="1">
      <c r="A260" s="6" t="s">
        <v>791</v>
      </c>
      <c r="B260" s="7" t="s">
        <v>792</v>
      </c>
      <c r="C260" s="7" t="s">
        <v>770</v>
      </c>
      <c r="D260" s="20">
        <v>64200</v>
      </c>
      <c r="E260" s="22">
        <v>0.49969999999999998</v>
      </c>
      <c r="F260" s="22">
        <v>0.2898</v>
      </c>
      <c r="G260" s="23">
        <v>10.7</v>
      </c>
      <c r="H260" s="24">
        <v>504</v>
      </c>
      <c r="I260" s="25">
        <v>688.5</v>
      </c>
      <c r="J260" s="24">
        <v>18607</v>
      </c>
    </row>
    <row r="261" spans="1:10" ht="15" customHeight="1">
      <c r="A261" s="6" t="s">
        <v>793</v>
      </c>
      <c r="B261" s="7" t="s">
        <v>794</v>
      </c>
      <c r="C261" s="7" t="s">
        <v>770</v>
      </c>
      <c r="D261" s="20">
        <v>64200</v>
      </c>
      <c r="E261" s="22">
        <v>0.49340000000000001</v>
      </c>
      <c r="F261" s="22">
        <v>0.28620000000000001</v>
      </c>
      <c r="G261" s="23">
        <v>10.6</v>
      </c>
      <c r="H261" s="24">
        <v>498</v>
      </c>
      <c r="I261" s="25">
        <v>679.8</v>
      </c>
      <c r="J261" s="24">
        <v>18372</v>
      </c>
    </row>
    <row r="262" spans="1:10" ht="15" customHeight="1">
      <c r="A262" s="6" t="s">
        <v>795</v>
      </c>
      <c r="B262" s="7" t="s">
        <v>796</v>
      </c>
      <c r="C262" s="7" t="s">
        <v>770</v>
      </c>
      <c r="D262" s="20">
        <v>64200</v>
      </c>
      <c r="E262" s="22">
        <v>0.61739999999999995</v>
      </c>
      <c r="F262" s="22">
        <v>0.35809999999999997</v>
      </c>
      <c r="G262" s="23">
        <v>13.2</v>
      </c>
      <c r="H262" s="24">
        <v>623</v>
      </c>
      <c r="I262" s="25">
        <v>850.6</v>
      </c>
      <c r="J262" s="24">
        <v>22990</v>
      </c>
    </row>
    <row r="263" spans="1:10" ht="15" customHeight="1">
      <c r="A263" s="6" t="s">
        <v>797</v>
      </c>
      <c r="B263" s="7" t="s">
        <v>798</v>
      </c>
      <c r="C263" s="7" t="s">
        <v>770</v>
      </c>
      <c r="D263" s="20">
        <v>64200</v>
      </c>
      <c r="E263" s="22">
        <v>0.43809999999999999</v>
      </c>
      <c r="F263" s="22">
        <v>0.25409999999999999</v>
      </c>
      <c r="G263" s="23">
        <v>9.4</v>
      </c>
      <c r="H263" s="24">
        <v>442</v>
      </c>
      <c r="I263" s="25">
        <v>603.6</v>
      </c>
      <c r="J263" s="24">
        <v>16313</v>
      </c>
    </row>
    <row r="264" spans="1:10" ht="15" customHeight="1">
      <c r="A264" s="6" t="s">
        <v>799</v>
      </c>
      <c r="B264" s="7" t="s">
        <v>800</v>
      </c>
      <c r="C264" s="7" t="s">
        <v>770</v>
      </c>
      <c r="D264" s="20">
        <v>64200</v>
      </c>
      <c r="E264" s="22">
        <v>0.36959999999999998</v>
      </c>
      <c r="F264" s="22">
        <v>0.21440000000000001</v>
      </c>
      <c r="G264" s="23">
        <v>7.9</v>
      </c>
      <c r="H264" s="24">
        <v>373</v>
      </c>
      <c r="I264" s="25">
        <v>509.2</v>
      </c>
      <c r="J264" s="24">
        <v>13762</v>
      </c>
    </row>
    <row r="265" spans="1:10" ht="15" customHeight="1">
      <c r="A265" s="6" t="s">
        <v>801</v>
      </c>
      <c r="B265" s="7" t="s">
        <v>802</v>
      </c>
      <c r="C265" s="7" t="s">
        <v>770</v>
      </c>
      <c r="D265" s="20">
        <v>64200</v>
      </c>
      <c r="E265" s="22">
        <v>0.51190000000000002</v>
      </c>
      <c r="F265" s="22">
        <v>0.2969</v>
      </c>
      <c r="G265" s="23">
        <v>11</v>
      </c>
      <c r="H265" s="24">
        <v>516</v>
      </c>
      <c r="I265" s="25">
        <v>705.3</v>
      </c>
      <c r="J265" s="24">
        <v>19061</v>
      </c>
    </row>
    <row r="266" spans="1:10" ht="15" customHeight="1">
      <c r="A266" s="6" t="s">
        <v>803</v>
      </c>
      <c r="B266" s="7" t="s">
        <v>804</v>
      </c>
      <c r="C266" s="7" t="s">
        <v>770</v>
      </c>
      <c r="D266" s="20">
        <v>64200</v>
      </c>
      <c r="E266" s="22">
        <v>0.45229999999999998</v>
      </c>
      <c r="F266" s="22">
        <v>0.26229999999999998</v>
      </c>
      <c r="G266" s="23">
        <v>9.6999999999999993</v>
      </c>
      <c r="H266" s="24">
        <v>456</v>
      </c>
      <c r="I266" s="25">
        <v>623.1</v>
      </c>
      <c r="J266" s="24">
        <v>16842</v>
      </c>
    </row>
    <row r="267" spans="1:10" ht="15" customHeight="1">
      <c r="A267" s="6" t="s">
        <v>805</v>
      </c>
      <c r="B267" s="7" t="s">
        <v>806</v>
      </c>
      <c r="C267" s="7" t="s">
        <v>770</v>
      </c>
      <c r="D267" s="20">
        <v>64200</v>
      </c>
      <c r="E267" s="22">
        <v>0.48680000000000001</v>
      </c>
      <c r="F267" s="22">
        <v>0.2823</v>
      </c>
      <c r="G267" s="23">
        <v>10.4</v>
      </c>
      <c r="H267" s="24">
        <v>491</v>
      </c>
      <c r="I267" s="25">
        <v>670.7</v>
      </c>
      <c r="J267" s="24">
        <v>18126</v>
      </c>
    </row>
    <row r="268" spans="1:10" ht="15" customHeight="1">
      <c r="A268" s="6" t="s">
        <v>807</v>
      </c>
      <c r="B268" s="7" t="s">
        <v>808</v>
      </c>
      <c r="C268" s="7" t="s">
        <v>770</v>
      </c>
      <c r="D268" s="20">
        <v>64200</v>
      </c>
      <c r="E268" s="22">
        <v>0.54110000000000003</v>
      </c>
      <c r="F268" s="22">
        <v>0.31380000000000002</v>
      </c>
      <c r="G268" s="23">
        <v>11.6</v>
      </c>
      <c r="H268" s="24">
        <v>546</v>
      </c>
      <c r="I268" s="25">
        <v>745.5</v>
      </c>
      <c r="J268" s="24">
        <v>20148</v>
      </c>
    </row>
    <row r="269" spans="1:10" ht="15" customHeight="1">
      <c r="A269" s="6" t="s">
        <v>809</v>
      </c>
      <c r="B269" s="7" t="s">
        <v>810</v>
      </c>
      <c r="C269" s="7" t="s">
        <v>811</v>
      </c>
      <c r="D269" s="20">
        <v>69250</v>
      </c>
      <c r="E269" s="22">
        <v>0.27379999999999999</v>
      </c>
      <c r="F269" s="22">
        <v>0.1643</v>
      </c>
      <c r="G269" s="23">
        <v>6.1</v>
      </c>
      <c r="H269" s="24">
        <v>286</v>
      </c>
      <c r="I269" s="25">
        <v>420.9</v>
      </c>
      <c r="J269" s="24">
        <v>11376</v>
      </c>
    </row>
    <row r="270" spans="1:10" ht="15" customHeight="1">
      <c r="A270" s="6" t="s">
        <v>812</v>
      </c>
      <c r="B270" s="7" t="s">
        <v>813</v>
      </c>
      <c r="C270" s="7" t="s">
        <v>811</v>
      </c>
      <c r="D270" s="20">
        <v>69250</v>
      </c>
      <c r="E270" s="22">
        <v>0.28710000000000002</v>
      </c>
      <c r="F270" s="22">
        <v>0.17230000000000001</v>
      </c>
      <c r="G270" s="23">
        <v>6.4</v>
      </c>
      <c r="H270" s="24">
        <v>300</v>
      </c>
      <c r="I270" s="25">
        <v>441.4</v>
      </c>
      <c r="J270" s="24">
        <v>11929</v>
      </c>
    </row>
    <row r="271" spans="1:10" ht="15" customHeight="1">
      <c r="A271" s="6" t="s">
        <v>814</v>
      </c>
      <c r="B271" s="7" t="s">
        <v>815</v>
      </c>
      <c r="C271" s="7" t="s">
        <v>811</v>
      </c>
      <c r="D271" s="20">
        <v>69250</v>
      </c>
      <c r="E271" s="22">
        <v>0.2596</v>
      </c>
      <c r="F271" s="22">
        <v>0.15579999999999999</v>
      </c>
      <c r="G271" s="23">
        <v>5.8</v>
      </c>
      <c r="H271" s="24">
        <v>271</v>
      </c>
      <c r="I271" s="25">
        <v>399.1</v>
      </c>
      <c r="J271" s="24">
        <v>10786</v>
      </c>
    </row>
    <row r="272" spans="1:10" ht="15" customHeight="1">
      <c r="A272" s="6" t="s">
        <v>816</v>
      </c>
      <c r="B272" s="7" t="s">
        <v>817</v>
      </c>
      <c r="C272" s="7" t="s">
        <v>811</v>
      </c>
      <c r="D272" s="20">
        <v>69250</v>
      </c>
      <c r="E272" s="22">
        <v>0.25659999999999999</v>
      </c>
      <c r="F272" s="22">
        <v>0.154</v>
      </c>
      <c r="G272" s="23">
        <v>5.7</v>
      </c>
      <c r="H272" s="24">
        <v>268</v>
      </c>
      <c r="I272" s="25">
        <v>394.5</v>
      </c>
      <c r="J272" s="24">
        <v>10662</v>
      </c>
    </row>
    <row r="273" spans="1:10" ht="15" customHeight="1">
      <c r="A273" s="6" t="s">
        <v>818</v>
      </c>
      <c r="B273" s="7" t="s">
        <v>819</v>
      </c>
      <c r="C273" s="7" t="s">
        <v>811</v>
      </c>
      <c r="D273" s="20">
        <v>69250</v>
      </c>
      <c r="E273" s="22">
        <v>0.45610000000000001</v>
      </c>
      <c r="F273" s="22">
        <v>0.2737</v>
      </c>
      <c r="G273" s="23">
        <v>10.1</v>
      </c>
      <c r="H273" s="24">
        <v>476</v>
      </c>
      <c r="I273" s="25">
        <v>701.2</v>
      </c>
      <c r="J273" s="24">
        <v>18951</v>
      </c>
    </row>
    <row r="274" spans="1:10" ht="15" customHeight="1">
      <c r="A274" s="6" t="s">
        <v>820</v>
      </c>
      <c r="B274" s="7" t="s">
        <v>821</v>
      </c>
      <c r="C274" s="7" t="s">
        <v>811</v>
      </c>
      <c r="D274" s="20">
        <v>69250</v>
      </c>
      <c r="E274" s="22">
        <v>0.30430000000000001</v>
      </c>
      <c r="F274" s="22">
        <v>0.18260000000000001</v>
      </c>
      <c r="G274" s="23">
        <v>6.8</v>
      </c>
      <c r="H274" s="24">
        <v>318</v>
      </c>
      <c r="I274" s="25">
        <v>467.8</v>
      </c>
      <c r="J274" s="24">
        <v>12644</v>
      </c>
    </row>
    <row r="275" spans="1:10" ht="15" customHeight="1">
      <c r="A275" s="6" t="s">
        <v>822</v>
      </c>
      <c r="B275" s="7" t="s">
        <v>823</v>
      </c>
      <c r="C275" s="7" t="s">
        <v>811</v>
      </c>
      <c r="D275" s="20">
        <v>69250</v>
      </c>
      <c r="E275" s="22">
        <v>0.29049999999999998</v>
      </c>
      <c r="F275" s="22">
        <v>0.17430000000000001</v>
      </c>
      <c r="G275" s="23">
        <v>6.4</v>
      </c>
      <c r="H275" s="24">
        <v>303</v>
      </c>
      <c r="I275" s="25">
        <v>446.6</v>
      </c>
      <c r="J275" s="24">
        <v>12070</v>
      </c>
    </row>
    <row r="276" spans="1:10" ht="15" customHeight="1">
      <c r="A276" s="6" t="s">
        <v>824</v>
      </c>
      <c r="B276" s="7" t="s">
        <v>825</v>
      </c>
      <c r="C276" s="7" t="s">
        <v>811</v>
      </c>
      <c r="D276" s="20">
        <v>69250</v>
      </c>
      <c r="E276" s="22">
        <v>0.30980000000000002</v>
      </c>
      <c r="F276" s="22">
        <v>0.18590000000000001</v>
      </c>
      <c r="G276" s="23">
        <v>6.9</v>
      </c>
      <c r="H276" s="24">
        <v>323</v>
      </c>
      <c r="I276" s="25">
        <v>476.3</v>
      </c>
      <c r="J276" s="24">
        <v>12872</v>
      </c>
    </row>
    <row r="277" spans="1:10" ht="15" customHeight="1">
      <c r="A277" s="6" t="s">
        <v>826</v>
      </c>
      <c r="B277" s="7" t="s">
        <v>827</v>
      </c>
      <c r="C277" s="7" t="s">
        <v>811</v>
      </c>
      <c r="D277" s="20">
        <v>69250</v>
      </c>
      <c r="E277" s="22">
        <v>0.26500000000000001</v>
      </c>
      <c r="F277" s="22">
        <v>0.159</v>
      </c>
      <c r="G277" s="23">
        <v>5.9</v>
      </c>
      <c r="H277" s="24">
        <v>277</v>
      </c>
      <c r="I277" s="25">
        <v>407.4</v>
      </c>
      <c r="J277" s="24">
        <v>11011</v>
      </c>
    </row>
    <row r="278" spans="1:10" ht="15" customHeight="1">
      <c r="A278" s="6" t="s">
        <v>828</v>
      </c>
      <c r="B278" s="7" t="s">
        <v>829</v>
      </c>
      <c r="C278" s="7" t="s">
        <v>811</v>
      </c>
      <c r="D278" s="20">
        <v>69250</v>
      </c>
      <c r="E278" s="22">
        <v>0.27629999999999999</v>
      </c>
      <c r="F278" s="22">
        <v>0.1658</v>
      </c>
      <c r="G278" s="23">
        <v>6.1</v>
      </c>
      <c r="H278" s="24">
        <v>288</v>
      </c>
      <c r="I278" s="25">
        <v>424.8</v>
      </c>
      <c r="J278" s="24">
        <v>11480</v>
      </c>
    </row>
    <row r="279" spans="1:10" ht="15" customHeight="1">
      <c r="A279" s="6" t="s">
        <v>830</v>
      </c>
      <c r="B279" s="7" t="s">
        <v>831</v>
      </c>
      <c r="C279" s="7" t="s">
        <v>811</v>
      </c>
      <c r="D279" s="20">
        <v>69250</v>
      </c>
      <c r="E279" s="22">
        <v>0.27629999999999999</v>
      </c>
      <c r="F279" s="22">
        <v>0.1658</v>
      </c>
      <c r="G279" s="23">
        <v>6.1</v>
      </c>
      <c r="H279" s="24">
        <v>288</v>
      </c>
      <c r="I279" s="25">
        <v>424.8</v>
      </c>
      <c r="J279" s="24">
        <v>11480</v>
      </c>
    </row>
    <row r="280" spans="1:10" ht="15" customHeight="1">
      <c r="A280" s="6" t="s">
        <v>832</v>
      </c>
      <c r="B280" s="7" t="s">
        <v>833</v>
      </c>
      <c r="C280" s="7" t="s">
        <v>811</v>
      </c>
      <c r="D280" s="20">
        <v>69250</v>
      </c>
      <c r="E280" s="22">
        <v>0.52690000000000003</v>
      </c>
      <c r="F280" s="22">
        <v>0.31609999999999999</v>
      </c>
      <c r="G280" s="23">
        <v>11.7</v>
      </c>
      <c r="H280" s="24">
        <v>550</v>
      </c>
      <c r="I280" s="25">
        <v>810</v>
      </c>
      <c r="J280" s="24">
        <v>21893</v>
      </c>
    </row>
    <row r="281" spans="1:10" ht="15" customHeight="1">
      <c r="A281" s="6" t="s">
        <v>834</v>
      </c>
      <c r="B281" s="7" t="s">
        <v>835</v>
      </c>
      <c r="C281" s="7" t="s">
        <v>836</v>
      </c>
      <c r="D281" s="20">
        <v>42000</v>
      </c>
      <c r="E281" s="22">
        <v>0.3004</v>
      </c>
      <c r="F281" s="22">
        <v>0.17419999999999999</v>
      </c>
      <c r="G281" s="23">
        <v>6.4</v>
      </c>
      <c r="H281" s="24">
        <v>303</v>
      </c>
      <c r="I281" s="25">
        <v>270.8</v>
      </c>
      <c r="J281" s="24">
        <v>7318</v>
      </c>
    </row>
    <row r="282" spans="1:10" ht="15" customHeight="1">
      <c r="A282" s="6" t="s">
        <v>837</v>
      </c>
      <c r="B282" s="7" t="s">
        <v>838</v>
      </c>
      <c r="C282" s="7" t="s">
        <v>836</v>
      </c>
      <c r="D282" s="20">
        <v>42000</v>
      </c>
      <c r="E282" s="22">
        <v>0.316</v>
      </c>
      <c r="F282" s="22">
        <v>0.18329999999999999</v>
      </c>
      <c r="G282" s="23">
        <v>6.8</v>
      </c>
      <c r="H282" s="24">
        <v>319</v>
      </c>
      <c r="I282" s="25">
        <v>284.8</v>
      </c>
      <c r="J282" s="24">
        <v>7698</v>
      </c>
    </row>
    <row r="283" spans="1:10" ht="15" customHeight="1">
      <c r="A283" s="6" t="s">
        <v>839</v>
      </c>
      <c r="B283" s="7" t="s">
        <v>840</v>
      </c>
      <c r="C283" s="7" t="s">
        <v>836</v>
      </c>
      <c r="D283" s="20">
        <v>42000</v>
      </c>
      <c r="E283" s="22">
        <v>0.316</v>
      </c>
      <c r="F283" s="22">
        <v>0.18329999999999999</v>
      </c>
      <c r="G283" s="23">
        <v>6.8</v>
      </c>
      <c r="H283" s="24">
        <v>319</v>
      </c>
      <c r="I283" s="25">
        <v>284.8</v>
      </c>
      <c r="J283" s="24">
        <v>7698</v>
      </c>
    </row>
    <row r="284" spans="1:10" ht="15" customHeight="1">
      <c r="A284" s="6" t="s">
        <v>841</v>
      </c>
      <c r="B284" s="7" t="s">
        <v>842</v>
      </c>
      <c r="C284" s="7" t="s">
        <v>836</v>
      </c>
      <c r="D284" s="20">
        <v>42000</v>
      </c>
      <c r="E284" s="22">
        <v>0.35299999999999998</v>
      </c>
      <c r="F284" s="22">
        <v>0.20469999999999999</v>
      </c>
      <c r="G284" s="23">
        <v>7.6</v>
      </c>
      <c r="H284" s="24">
        <v>356</v>
      </c>
      <c r="I284" s="25">
        <v>318.2</v>
      </c>
      <c r="J284" s="24">
        <v>8599</v>
      </c>
    </row>
    <row r="285" spans="1:10" ht="15" customHeight="1">
      <c r="A285" s="6" t="s">
        <v>843</v>
      </c>
      <c r="B285" s="7" t="s">
        <v>844</v>
      </c>
      <c r="C285" s="7" t="s">
        <v>836</v>
      </c>
      <c r="D285" s="20">
        <v>42000</v>
      </c>
      <c r="E285" s="22">
        <v>0.5444</v>
      </c>
      <c r="F285" s="22">
        <v>0.31580000000000003</v>
      </c>
      <c r="G285" s="23">
        <v>11.7</v>
      </c>
      <c r="H285" s="24">
        <v>549</v>
      </c>
      <c r="I285" s="25">
        <v>490.7</v>
      </c>
      <c r="J285" s="24">
        <v>13262</v>
      </c>
    </row>
    <row r="286" spans="1:10" ht="15" customHeight="1">
      <c r="A286" s="6" t="s">
        <v>845</v>
      </c>
      <c r="B286" s="7" t="s">
        <v>846</v>
      </c>
      <c r="C286" s="7" t="s">
        <v>836</v>
      </c>
      <c r="D286" s="20">
        <v>42000</v>
      </c>
      <c r="E286" s="22">
        <v>0.41349999999999998</v>
      </c>
      <c r="F286" s="22">
        <v>0.23980000000000001</v>
      </c>
      <c r="G286" s="23">
        <v>8.9</v>
      </c>
      <c r="H286" s="24">
        <v>417</v>
      </c>
      <c r="I286" s="25">
        <v>372.7</v>
      </c>
      <c r="J286" s="24">
        <v>10073</v>
      </c>
    </row>
    <row r="287" spans="1:10" ht="15" customHeight="1">
      <c r="A287" s="6" t="s">
        <v>847</v>
      </c>
      <c r="B287" s="7" t="s">
        <v>848</v>
      </c>
      <c r="C287" s="7" t="s">
        <v>836</v>
      </c>
      <c r="D287" s="20">
        <v>42000</v>
      </c>
      <c r="E287" s="22">
        <v>0.3004</v>
      </c>
      <c r="F287" s="22">
        <v>0.17419999999999999</v>
      </c>
      <c r="G287" s="23">
        <v>6.4</v>
      </c>
      <c r="H287" s="24">
        <v>303</v>
      </c>
      <c r="I287" s="25">
        <v>270.8</v>
      </c>
      <c r="J287" s="24">
        <v>7318</v>
      </c>
    </row>
    <row r="288" spans="1:10" ht="15" customHeight="1">
      <c r="A288" s="6" t="s">
        <v>849</v>
      </c>
      <c r="B288" s="7" t="s">
        <v>850</v>
      </c>
      <c r="C288" s="7" t="s">
        <v>836</v>
      </c>
      <c r="D288" s="20">
        <v>42000</v>
      </c>
      <c r="E288" s="22">
        <v>0.30830000000000002</v>
      </c>
      <c r="F288" s="22">
        <v>0.17879999999999999</v>
      </c>
      <c r="G288" s="23">
        <v>6.6</v>
      </c>
      <c r="H288" s="24">
        <v>311</v>
      </c>
      <c r="I288" s="25">
        <v>277.89999999999998</v>
      </c>
      <c r="J288" s="24">
        <v>7510</v>
      </c>
    </row>
    <row r="289" spans="1:10" ht="15" customHeight="1">
      <c r="A289" s="6" t="s">
        <v>851</v>
      </c>
      <c r="B289" s="7" t="s">
        <v>852</v>
      </c>
      <c r="C289" s="7" t="s">
        <v>836</v>
      </c>
      <c r="D289" s="20">
        <v>42000</v>
      </c>
      <c r="E289" s="22">
        <v>0.30790000000000001</v>
      </c>
      <c r="F289" s="22">
        <v>0.17860000000000001</v>
      </c>
      <c r="G289" s="23">
        <v>6.6</v>
      </c>
      <c r="H289" s="24">
        <v>311</v>
      </c>
      <c r="I289" s="25">
        <v>277.5</v>
      </c>
      <c r="J289" s="24">
        <v>7500</v>
      </c>
    </row>
    <row r="290" spans="1:10" ht="15" customHeight="1">
      <c r="A290" s="6" t="s">
        <v>853</v>
      </c>
      <c r="B290" s="7" t="s">
        <v>854</v>
      </c>
      <c r="C290" s="7" t="s">
        <v>836</v>
      </c>
      <c r="D290" s="20">
        <v>42000</v>
      </c>
      <c r="E290" s="22">
        <v>0.30830000000000002</v>
      </c>
      <c r="F290" s="22">
        <v>0.17879999999999999</v>
      </c>
      <c r="G290" s="23">
        <v>6.6</v>
      </c>
      <c r="H290" s="24">
        <v>311</v>
      </c>
      <c r="I290" s="25">
        <v>277.89999999999998</v>
      </c>
      <c r="J290" s="24">
        <v>7510</v>
      </c>
    </row>
    <row r="291" spans="1:10" ht="15" customHeight="1">
      <c r="A291" s="6" t="s">
        <v>855</v>
      </c>
      <c r="B291" s="7" t="s">
        <v>856</v>
      </c>
      <c r="C291" s="7" t="s">
        <v>836</v>
      </c>
      <c r="D291" s="20">
        <v>42000</v>
      </c>
      <c r="E291" s="22">
        <v>0.37609999999999999</v>
      </c>
      <c r="F291" s="22">
        <v>0.21809999999999999</v>
      </c>
      <c r="G291" s="23">
        <v>8.1</v>
      </c>
      <c r="H291" s="24">
        <v>379</v>
      </c>
      <c r="I291" s="25">
        <v>339</v>
      </c>
      <c r="J291" s="24">
        <v>9162</v>
      </c>
    </row>
    <row r="292" spans="1:10" ht="15" customHeight="1">
      <c r="A292" s="6" t="s">
        <v>857</v>
      </c>
      <c r="B292" s="7" t="s">
        <v>858</v>
      </c>
      <c r="C292" s="7" t="s">
        <v>836</v>
      </c>
      <c r="D292" s="20">
        <v>42000</v>
      </c>
      <c r="E292" s="22">
        <v>0.30980000000000002</v>
      </c>
      <c r="F292" s="22">
        <v>0.1797</v>
      </c>
      <c r="G292" s="23">
        <v>6.6</v>
      </c>
      <c r="H292" s="24">
        <v>312</v>
      </c>
      <c r="I292" s="25">
        <v>279.2</v>
      </c>
      <c r="J292" s="24">
        <v>7547</v>
      </c>
    </row>
    <row r="293" spans="1:10" ht="15" customHeight="1">
      <c r="A293" s="6" t="s">
        <v>859</v>
      </c>
      <c r="B293" s="7" t="s">
        <v>860</v>
      </c>
      <c r="C293" s="7" t="s">
        <v>836</v>
      </c>
      <c r="D293" s="20">
        <v>42000</v>
      </c>
      <c r="E293" s="22">
        <v>0.54090000000000005</v>
      </c>
      <c r="F293" s="22">
        <v>0.31369999999999998</v>
      </c>
      <c r="G293" s="23">
        <v>11.6</v>
      </c>
      <c r="H293" s="24">
        <v>546</v>
      </c>
      <c r="I293" s="25">
        <v>487.5</v>
      </c>
      <c r="J293" s="24">
        <v>13176</v>
      </c>
    </row>
    <row r="294" spans="1:10" ht="15" customHeight="1">
      <c r="A294" s="6" t="s">
        <v>861</v>
      </c>
      <c r="B294" s="7" t="s">
        <v>862</v>
      </c>
      <c r="C294" s="7" t="s">
        <v>836</v>
      </c>
      <c r="D294" s="20">
        <v>42000</v>
      </c>
      <c r="E294" s="22">
        <v>0.3387</v>
      </c>
      <c r="F294" s="22">
        <v>0.19639999999999999</v>
      </c>
      <c r="G294" s="23">
        <v>7.3</v>
      </c>
      <c r="H294" s="24">
        <v>342</v>
      </c>
      <c r="I294" s="25">
        <v>305.3</v>
      </c>
      <c r="J294" s="24">
        <v>8251</v>
      </c>
    </row>
    <row r="295" spans="1:10" ht="15" customHeight="1">
      <c r="A295" s="6" t="s">
        <v>863</v>
      </c>
      <c r="B295" s="7" t="s">
        <v>864</v>
      </c>
      <c r="C295" s="7" t="s">
        <v>836</v>
      </c>
      <c r="D295" s="20">
        <v>42000</v>
      </c>
      <c r="E295" s="22">
        <v>0.3392</v>
      </c>
      <c r="F295" s="22">
        <v>0.19670000000000001</v>
      </c>
      <c r="G295" s="23">
        <v>7.3</v>
      </c>
      <c r="H295" s="24">
        <v>342</v>
      </c>
      <c r="I295" s="25">
        <v>305.7</v>
      </c>
      <c r="J295" s="24">
        <v>8263</v>
      </c>
    </row>
    <row r="296" spans="1:10" ht="15" customHeight="1">
      <c r="A296" s="6" t="s">
        <v>865</v>
      </c>
      <c r="B296" s="7" t="s">
        <v>866</v>
      </c>
      <c r="C296" s="7" t="s">
        <v>836</v>
      </c>
      <c r="D296" s="20">
        <v>42000</v>
      </c>
      <c r="E296" s="22">
        <v>0.39610000000000001</v>
      </c>
      <c r="F296" s="22">
        <v>0.22969999999999999</v>
      </c>
      <c r="G296" s="23">
        <v>8.5</v>
      </c>
      <c r="H296" s="24">
        <v>400</v>
      </c>
      <c r="I296" s="25">
        <v>357</v>
      </c>
      <c r="J296" s="24">
        <v>9649</v>
      </c>
    </row>
    <row r="297" spans="1:10" ht="15" customHeight="1">
      <c r="A297" s="6" t="s">
        <v>867</v>
      </c>
      <c r="B297" s="7" t="s">
        <v>868</v>
      </c>
      <c r="C297" s="7" t="s">
        <v>836</v>
      </c>
      <c r="D297" s="20">
        <v>42000</v>
      </c>
      <c r="E297" s="22">
        <v>0.36649999999999999</v>
      </c>
      <c r="F297" s="22">
        <v>0.21260000000000001</v>
      </c>
      <c r="G297" s="23">
        <v>7.9</v>
      </c>
      <c r="H297" s="24">
        <v>370</v>
      </c>
      <c r="I297" s="25">
        <v>330.3</v>
      </c>
      <c r="J297" s="24">
        <v>8928</v>
      </c>
    </row>
    <row r="298" spans="1:10" ht="15" customHeight="1">
      <c r="A298" s="6" t="s">
        <v>869</v>
      </c>
      <c r="B298" s="7" t="s">
        <v>870</v>
      </c>
      <c r="C298" s="7" t="s">
        <v>871</v>
      </c>
      <c r="D298" s="20">
        <v>125267</v>
      </c>
      <c r="E298" s="22">
        <v>0.43190000000000001</v>
      </c>
      <c r="F298" s="22">
        <v>0.2591</v>
      </c>
      <c r="G298" s="23">
        <v>9.6</v>
      </c>
      <c r="H298" s="24">
        <v>451</v>
      </c>
      <c r="I298" s="25">
        <v>1201.0999999999999</v>
      </c>
      <c r="J298" s="24">
        <v>32462</v>
      </c>
    </row>
    <row r="299" spans="1:10" ht="15" customHeight="1">
      <c r="A299" s="6" t="s">
        <v>872</v>
      </c>
      <c r="B299" s="7" t="s">
        <v>873</v>
      </c>
      <c r="C299" s="7" t="s">
        <v>871</v>
      </c>
      <c r="D299" s="20">
        <v>125267</v>
      </c>
      <c r="E299" s="22">
        <v>0.52790000000000004</v>
      </c>
      <c r="F299" s="22">
        <v>0.31669999999999998</v>
      </c>
      <c r="G299" s="23">
        <v>11.7</v>
      </c>
      <c r="H299" s="24">
        <v>551</v>
      </c>
      <c r="I299" s="25">
        <v>1468.1</v>
      </c>
      <c r="J299" s="24">
        <v>39677</v>
      </c>
    </row>
    <row r="300" spans="1:10" ht="15" customHeight="1">
      <c r="A300" s="6" t="s">
        <v>874</v>
      </c>
      <c r="B300" s="7" t="s">
        <v>875</v>
      </c>
      <c r="C300" s="7" t="s">
        <v>871</v>
      </c>
      <c r="D300" s="20">
        <v>125267</v>
      </c>
      <c r="E300" s="22">
        <v>0.54759999999999998</v>
      </c>
      <c r="F300" s="22">
        <v>0.3286</v>
      </c>
      <c r="G300" s="23">
        <v>12.2</v>
      </c>
      <c r="H300" s="24">
        <v>571</v>
      </c>
      <c r="I300" s="25">
        <v>1522.8</v>
      </c>
      <c r="J300" s="24">
        <v>41158</v>
      </c>
    </row>
    <row r="301" spans="1:10" ht="15" customHeight="1">
      <c r="A301" s="6" t="s">
        <v>876</v>
      </c>
      <c r="B301" s="7" t="s">
        <v>877</v>
      </c>
      <c r="C301" s="7" t="s">
        <v>871</v>
      </c>
      <c r="D301" s="20">
        <v>125267</v>
      </c>
      <c r="E301" s="22">
        <v>0.47399999999999998</v>
      </c>
      <c r="F301" s="22">
        <v>0.28439999999999999</v>
      </c>
      <c r="G301" s="23">
        <v>10.5</v>
      </c>
      <c r="H301" s="24">
        <v>495</v>
      </c>
      <c r="I301" s="25">
        <v>1318.2</v>
      </c>
      <c r="J301" s="24">
        <v>35626</v>
      </c>
    </row>
    <row r="302" spans="1:10" ht="15" customHeight="1">
      <c r="A302" s="6" t="s">
        <v>878</v>
      </c>
      <c r="B302" s="7" t="s">
        <v>879</v>
      </c>
      <c r="C302" s="7" t="s">
        <v>871</v>
      </c>
      <c r="D302" s="20">
        <v>125267</v>
      </c>
      <c r="E302" s="22">
        <v>0.41199999999999998</v>
      </c>
      <c r="F302" s="22">
        <v>0.2472</v>
      </c>
      <c r="G302" s="23">
        <v>9.1</v>
      </c>
      <c r="H302" s="24">
        <v>430</v>
      </c>
      <c r="I302" s="25">
        <v>1145.7</v>
      </c>
      <c r="J302" s="24">
        <v>30966</v>
      </c>
    </row>
    <row r="303" spans="1:10" ht="15" customHeight="1">
      <c r="A303" s="6" t="s">
        <v>880</v>
      </c>
      <c r="B303" s="7" t="s">
        <v>881</v>
      </c>
      <c r="C303" s="7" t="s">
        <v>871</v>
      </c>
      <c r="D303" s="20">
        <v>125267</v>
      </c>
      <c r="E303" s="22">
        <v>0.40010000000000001</v>
      </c>
      <c r="F303" s="22">
        <v>0.24010000000000001</v>
      </c>
      <c r="G303" s="23">
        <v>8.9</v>
      </c>
      <c r="H303" s="24">
        <v>417</v>
      </c>
      <c r="I303" s="25">
        <v>1112.5999999999999</v>
      </c>
      <c r="J303" s="24">
        <v>30072</v>
      </c>
    </row>
    <row r="304" spans="1:10" ht="15" customHeight="1">
      <c r="A304" s="6" t="s">
        <v>882</v>
      </c>
      <c r="B304" s="7" t="s">
        <v>883</v>
      </c>
      <c r="C304" s="7" t="s">
        <v>871</v>
      </c>
      <c r="D304" s="20">
        <v>125267</v>
      </c>
      <c r="E304" s="22">
        <v>0.41710000000000003</v>
      </c>
      <c r="F304" s="22">
        <v>0.25030000000000002</v>
      </c>
      <c r="G304" s="23">
        <v>9.3000000000000007</v>
      </c>
      <c r="H304" s="24">
        <v>435</v>
      </c>
      <c r="I304" s="25">
        <v>1159.9000000000001</v>
      </c>
      <c r="J304" s="24">
        <v>31349</v>
      </c>
    </row>
    <row r="305" spans="1:10" ht="15" customHeight="1">
      <c r="A305" s="6" t="s">
        <v>884</v>
      </c>
      <c r="B305" s="7" t="s">
        <v>885</v>
      </c>
      <c r="C305" s="7" t="s">
        <v>871</v>
      </c>
      <c r="D305" s="20">
        <v>125267</v>
      </c>
      <c r="E305" s="22">
        <v>0.42499999999999999</v>
      </c>
      <c r="F305" s="22">
        <v>0.255</v>
      </c>
      <c r="G305" s="23">
        <v>9.4</v>
      </c>
      <c r="H305" s="24">
        <v>443</v>
      </c>
      <c r="I305" s="25">
        <v>1181.9000000000001</v>
      </c>
      <c r="J305" s="24">
        <v>31943</v>
      </c>
    </row>
    <row r="306" spans="1:10" ht="15" customHeight="1">
      <c r="A306" s="6" t="s">
        <v>886</v>
      </c>
      <c r="B306" s="7" t="s">
        <v>887</v>
      </c>
      <c r="C306" s="7" t="s">
        <v>871</v>
      </c>
      <c r="D306" s="20">
        <v>125267</v>
      </c>
      <c r="E306" s="22">
        <v>0.45760000000000001</v>
      </c>
      <c r="F306" s="22">
        <v>0.27460000000000001</v>
      </c>
      <c r="G306" s="23">
        <v>10.199999999999999</v>
      </c>
      <c r="H306" s="24">
        <v>477</v>
      </c>
      <c r="I306" s="25">
        <v>1272.5999999999999</v>
      </c>
      <c r="J306" s="24">
        <v>34393</v>
      </c>
    </row>
    <row r="307" spans="1:10" ht="15" customHeight="1">
      <c r="A307" s="6" t="s">
        <v>888</v>
      </c>
      <c r="B307" s="7" t="s">
        <v>889</v>
      </c>
      <c r="C307" s="7" t="s">
        <v>871</v>
      </c>
      <c r="D307" s="20">
        <v>125267</v>
      </c>
      <c r="E307" s="22">
        <v>0.41710000000000003</v>
      </c>
      <c r="F307" s="22">
        <v>0.25030000000000002</v>
      </c>
      <c r="G307" s="23">
        <v>9.3000000000000007</v>
      </c>
      <c r="H307" s="24">
        <v>435</v>
      </c>
      <c r="I307" s="25">
        <v>1159.9000000000001</v>
      </c>
      <c r="J307" s="24">
        <v>31349</v>
      </c>
    </row>
    <row r="308" spans="1:10" ht="15" customHeight="1">
      <c r="A308" s="6" t="s">
        <v>890</v>
      </c>
      <c r="B308" s="7" t="s">
        <v>891</v>
      </c>
      <c r="C308" s="7" t="s">
        <v>871</v>
      </c>
      <c r="D308" s="20">
        <v>125267</v>
      </c>
      <c r="E308" s="22">
        <v>0.41349999999999998</v>
      </c>
      <c r="F308" s="22">
        <v>0.24809999999999999</v>
      </c>
      <c r="G308" s="23">
        <v>9.1999999999999993</v>
      </c>
      <c r="H308" s="24">
        <v>431</v>
      </c>
      <c r="I308" s="25">
        <v>1149.9000000000001</v>
      </c>
      <c r="J308" s="24">
        <v>31079</v>
      </c>
    </row>
    <row r="309" spans="1:10" ht="15" customHeight="1">
      <c r="A309" s="6" t="s">
        <v>892</v>
      </c>
      <c r="B309" s="7" t="s">
        <v>893</v>
      </c>
      <c r="C309" s="7" t="s">
        <v>871</v>
      </c>
      <c r="D309" s="20">
        <v>125267</v>
      </c>
      <c r="E309" s="22">
        <v>0.48970000000000002</v>
      </c>
      <c r="F309" s="22">
        <v>0.29380000000000001</v>
      </c>
      <c r="G309" s="23">
        <v>10.9</v>
      </c>
      <c r="H309" s="24">
        <v>511</v>
      </c>
      <c r="I309" s="25">
        <v>1361.8</v>
      </c>
      <c r="J309" s="24">
        <v>36806</v>
      </c>
    </row>
    <row r="310" spans="1:10" ht="15" customHeight="1">
      <c r="A310" s="6" t="s">
        <v>894</v>
      </c>
      <c r="B310" s="7" t="s">
        <v>895</v>
      </c>
      <c r="C310" s="7" t="s">
        <v>871</v>
      </c>
      <c r="D310" s="20">
        <v>125267</v>
      </c>
      <c r="E310" s="22">
        <v>0.41089999999999999</v>
      </c>
      <c r="F310" s="22">
        <v>0.2465</v>
      </c>
      <c r="G310" s="23">
        <v>9.1</v>
      </c>
      <c r="H310" s="24">
        <v>429</v>
      </c>
      <c r="I310" s="25">
        <v>1142.7</v>
      </c>
      <c r="J310" s="24">
        <v>30883</v>
      </c>
    </row>
    <row r="311" spans="1:10" ht="15" customHeight="1">
      <c r="A311" s="6" t="s">
        <v>896</v>
      </c>
      <c r="B311" s="7" t="s">
        <v>897</v>
      </c>
      <c r="C311" s="7" t="s">
        <v>871</v>
      </c>
      <c r="D311" s="20">
        <v>125267</v>
      </c>
      <c r="E311" s="22">
        <v>0.35020000000000001</v>
      </c>
      <c r="F311" s="22">
        <v>0.21010000000000001</v>
      </c>
      <c r="G311" s="23">
        <v>7.8</v>
      </c>
      <c r="H311" s="24">
        <v>365</v>
      </c>
      <c r="I311" s="25">
        <v>973.9</v>
      </c>
      <c r="J311" s="24">
        <v>26321</v>
      </c>
    </row>
    <row r="312" spans="1:10" ht="15" customHeight="1">
      <c r="A312" s="6" t="s">
        <v>898</v>
      </c>
      <c r="B312" s="7" t="s">
        <v>899</v>
      </c>
      <c r="C312" s="7" t="s">
        <v>871</v>
      </c>
      <c r="D312" s="20">
        <v>125267</v>
      </c>
      <c r="E312" s="22">
        <v>0.37509999999999999</v>
      </c>
      <c r="F312" s="22">
        <v>0.22509999999999999</v>
      </c>
      <c r="G312" s="23">
        <v>8.3000000000000007</v>
      </c>
      <c r="H312" s="24">
        <v>391</v>
      </c>
      <c r="I312" s="25">
        <v>1043.0999999999999</v>
      </c>
      <c r="J312" s="24">
        <v>28193</v>
      </c>
    </row>
    <row r="313" spans="1:10" ht="15" customHeight="1">
      <c r="A313" s="6" t="s">
        <v>900</v>
      </c>
      <c r="B313" s="7" t="s">
        <v>901</v>
      </c>
      <c r="C313" s="7" t="s">
        <v>902</v>
      </c>
      <c r="D313" s="20">
        <v>69455</v>
      </c>
      <c r="E313" s="22">
        <v>0.43819999999999998</v>
      </c>
      <c r="F313" s="22">
        <v>0.24099999999999999</v>
      </c>
      <c r="G313" s="23">
        <v>8.9</v>
      </c>
      <c r="H313" s="24">
        <v>419</v>
      </c>
      <c r="I313" s="25">
        <v>619.4</v>
      </c>
      <c r="J313" s="24">
        <v>16739</v>
      </c>
    </row>
    <row r="314" spans="1:10" ht="15" customHeight="1">
      <c r="A314" s="6" t="s">
        <v>903</v>
      </c>
      <c r="B314" s="7" t="s">
        <v>904</v>
      </c>
      <c r="C314" s="7" t="s">
        <v>902</v>
      </c>
      <c r="D314" s="20">
        <v>69455</v>
      </c>
      <c r="E314" s="22">
        <v>0.44169999999999998</v>
      </c>
      <c r="F314" s="22">
        <v>0.2429</v>
      </c>
      <c r="G314" s="23">
        <v>9</v>
      </c>
      <c r="H314" s="24">
        <v>422</v>
      </c>
      <c r="I314" s="25">
        <v>624.29999999999995</v>
      </c>
      <c r="J314" s="24">
        <v>16873</v>
      </c>
    </row>
    <row r="315" spans="1:10" ht="15" customHeight="1">
      <c r="A315" s="6" t="s">
        <v>905</v>
      </c>
      <c r="B315" s="7" t="s">
        <v>906</v>
      </c>
      <c r="C315" s="7" t="s">
        <v>902</v>
      </c>
      <c r="D315" s="20">
        <v>69455</v>
      </c>
      <c r="E315" s="22">
        <v>0.28870000000000001</v>
      </c>
      <c r="F315" s="22">
        <v>0.1588</v>
      </c>
      <c r="G315" s="23">
        <v>5.9</v>
      </c>
      <c r="H315" s="24">
        <v>276</v>
      </c>
      <c r="I315" s="25">
        <v>408.1</v>
      </c>
      <c r="J315" s="24">
        <v>11028</v>
      </c>
    </row>
    <row r="316" spans="1:10" ht="15" customHeight="1">
      <c r="A316" s="6" t="s">
        <v>907</v>
      </c>
      <c r="B316" s="7" t="s">
        <v>908</v>
      </c>
      <c r="C316" s="7" t="s">
        <v>902</v>
      </c>
      <c r="D316" s="20">
        <v>69455</v>
      </c>
      <c r="E316" s="22">
        <v>0.3538</v>
      </c>
      <c r="F316" s="22">
        <v>0.1946</v>
      </c>
      <c r="G316" s="23">
        <v>7.2</v>
      </c>
      <c r="H316" s="24">
        <v>338</v>
      </c>
      <c r="I316" s="25">
        <v>500.1</v>
      </c>
      <c r="J316" s="24">
        <v>13515</v>
      </c>
    </row>
    <row r="317" spans="1:10" ht="15" customHeight="1">
      <c r="A317" s="6" t="s">
        <v>909</v>
      </c>
      <c r="B317" s="7" t="s">
        <v>910</v>
      </c>
      <c r="C317" s="7" t="s">
        <v>902</v>
      </c>
      <c r="D317" s="20">
        <v>69455</v>
      </c>
      <c r="E317" s="22">
        <v>0.41199999999999998</v>
      </c>
      <c r="F317" s="22">
        <v>0.2266</v>
      </c>
      <c r="G317" s="23">
        <v>8.4</v>
      </c>
      <c r="H317" s="24">
        <v>394</v>
      </c>
      <c r="I317" s="25">
        <v>582.29999999999995</v>
      </c>
      <c r="J317" s="24">
        <v>15739</v>
      </c>
    </row>
    <row r="318" spans="1:10" ht="15" customHeight="1">
      <c r="A318" s="6" t="s">
        <v>911</v>
      </c>
      <c r="B318" s="7" t="s">
        <v>912</v>
      </c>
      <c r="C318" s="7" t="s">
        <v>902</v>
      </c>
      <c r="D318" s="20">
        <v>69455</v>
      </c>
      <c r="E318" s="22">
        <v>0.44</v>
      </c>
      <c r="F318" s="22">
        <v>0.24199999999999999</v>
      </c>
      <c r="G318" s="23">
        <v>9</v>
      </c>
      <c r="H318" s="24">
        <v>421</v>
      </c>
      <c r="I318" s="25">
        <v>621.9</v>
      </c>
      <c r="J318" s="24">
        <v>16808</v>
      </c>
    </row>
    <row r="319" spans="1:10" ht="15" customHeight="1">
      <c r="A319" s="6" t="s">
        <v>913</v>
      </c>
      <c r="B319" s="7" t="s">
        <v>914</v>
      </c>
      <c r="C319" s="7" t="s">
        <v>902</v>
      </c>
      <c r="D319" s="20">
        <v>69455</v>
      </c>
      <c r="E319" s="22">
        <v>0.69569999999999999</v>
      </c>
      <c r="F319" s="22">
        <v>0.3826</v>
      </c>
      <c r="G319" s="23">
        <v>14.2</v>
      </c>
      <c r="H319" s="24">
        <v>665</v>
      </c>
      <c r="I319" s="25">
        <v>983.3</v>
      </c>
      <c r="J319" s="24">
        <v>26576</v>
      </c>
    </row>
    <row r="320" spans="1:10" ht="15" customHeight="1">
      <c r="A320" s="6" t="s">
        <v>915</v>
      </c>
      <c r="B320" s="7" t="s">
        <v>916</v>
      </c>
      <c r="C320" s="7" t="s">
        <v>902</v>
      </c>
      <c r="D320" s="20">
        <v>69455</v>
      </c>
      <c r="E320" s="22">
        <v>0.5857</v>
      </c>
      <c r="F320" s="22">
        <v>0.3221</v>
      </c>
      <c r="G320" s="23">
        <v>11.9</v>
      </c>
      <c r="H320" s="24">
        <v>560</v>
      </c>
      <c r="I320" s="25">
        <v>827.8</v>
      </c>
      <c r="J320" s="24">
        <v>22374</v>
      </c>
    </row>
    <row r="321" spans="1:10" ht="15" customHeight="1">
      <c r="A321" s="6" t="s">
        <v>917</v>
      </c>
      <c r="B321" s="7" t="s">
        <v>918</v>
      </c>
      <c r="C321" s="7" t="s">
        <v>902</v>
      </c>
      <c r="D321" s="20">
        <v>69455</v>
      </c>
      <c r="E321" s="22">
        <v>0.3538</v>
      </c>
      <c r="F321" s="22">
        <v>0.1946</v>
      </c>
      <c r="G321" s="23">
        <v>7.2</v>
      </c>
      <c r="H321" s="24">
        <v>338</v>
      </c>
      <c r="I321" s="25">
        <v>500.1</v>
      </c>
      <c r="J321" s="24">
        <v>13515</v>
      </c>
    </row>
    <row r="322" spans="1:10" ht="15" customHeight="1">
      <c r="A322" s="6" t="s">
        <v>919</v>
      </c>
      <c r="B322" s="7" t="s">
        <v>920</v>
      </c>
      <c r="C322" s="7" t="s">
        <v>902</v>
      </c>
      <c r="D322" s="20">
        <v>69455</v>
      </c>
      <c r="E322" s="22">
        <v>0.47320000000000001</v>
      </c>
      <c r="F322" s="22">
        <v>0.26029999999999998</v>
      </c>
      <c r="G322" s="23">
        <v>9.6</v>
      </c>
      <c r="H322" s="24">
        <v>453</v>
      </c>
      <c r="I322" s="25">
        <v>668.8</v>
      </c>
      <c r="J322" s="24">
        <v>18076</v>
      </c>
    </row>
    <row r="323" spans="1:10" ht="15" customHeight="1">
      <c r="A323" s="6" t="s">
        <v>921</v>
      </c>
      <c r="B323" s="7" t="s">
        <v>922</v>
      </c>
      <c r="C323" s="7" t="s">
        <v>902</v>
      </c>
      <c r="D323" s="20">
        <v>69455</v>
      </c>
      <c r="E323" s="22">
        <v>0.5907</v>
      </c>
      <c r="F323" s="22">
        <v>0.32490000000000002</v>
      </c>
      <c r="G323" s="23">
        <v>12</v>
      </c>
      <c r="H323" s="24">
        <v>565</v>
      </c>
      <c r="I323" s="25">
        <v>834.9</v>
      </c>
      <c r="J323" s="24">
        <v>22565</v>
      </c>
    </row>
    <row r="324" spans="1:10" ht="15" customHeight="1">
      <c r="A324" s="6" t="s">
        <v>923</v>
      </c>
      <c r="B324" s="7" t="s">
        <v>924</v>
      </c>
      <c r="C324" s="7" t="s">
        <v>925</v>
      </c>
      <c r="D324" s="20">
        <v>54000</v>
      </c>
      <c r="E324" s="22">
        <v>0.52939999999999998</v>
      </c>
      <c r="F324" s="22">
        <v>0.30709999999999998</v>
      </c>
      <c r="G324" s="23">
        <v>11.4</v>
      </c>
      <c r="H324" s="24">
        <v>534</v>
      </c>
      <c r="I324" s="25">
        <v>613.5</v>
      </c>
      <c r="J324" s="24">
        <v>16581</v>
      </c>
    </row>
    <row r="325" spans="1:10" ht="15" customHeight="1">
      <c r="A325" s="6" t="s">
        <v>926</v>
      </c>
      <c r="B325" s="7" t="s">
        <v>927</v>
      </c>
      <c r="C325" s="7" t="s">
        <v>925</v>
      </c>
      <c r="D325" s="20">
        <v>54000</v>
      </c>
      <c r="E325" s="22">
        <v>0.40539999999999998</v>
      </c>
      <c r="F325" s="22">
        <v>0.2351</v>
      </c>
      <c r="G325" s="23">
        <v>8.6999999999999993</v>
      </c>
      <c r="H325" s="24">
        <v>409</v>
      </c>
      <c r="I325" s="25">
        <v>469.8</v>
      </c>
      <c r="J325" s="24">
        <v>12697</v>
      </c>
    </row>
    <row r="326" spans="1:10" ht="15" customHeight="1">
      <c r="A326" s="6" t="s">
        <v>928</v>
      </c>
      <c r="B326" s="7" t="s">
        <v>929</v>
      </c>
      <c r="C326" s="7" t="s">
        <v>930</v>
      </c>
      <c r="D326" s="20">
        <v>109800</v>
      </c>
      <c r="E326" s="22">
        <v>0.57489999999999997</v>
      </c>
      <c r="F326" s="22">
        <v>0.2989</v>
      </c>
      <c r="G326" s="23">
        <v>11.1</v>
      </c>
      <c r="H326" s="24">
        <v>520</v>
      </c>
      <c r="I326" s="25">
        <v>1214.5</v>
      </c>
      <c r="J326" s="24">
        <v>32824</v>
      </c>
    </row>
    <row r="327" spans="1:10" ht="15" customHeight="1">
      <c r="A327" s="6" t="s">
        <v>931</v>
      </c>
      <c r="B327" s="7" t="s">
        <v>932</v>
      </c>
      <c r="C327" s="7" t="s">
        <v>930</v>
      </c>
      <c r="D327" s="20">
        <v>109800</v>
      </c>
      <c r="E327" s="22">
        <v>0.52490000000000003</v>
      </c>
      <c r="F327" s="22">
        <v>0.27289999999999998</v>
      </c>
      <c r="G327" s="23">
        <v>10.1</v>
      </c>
      <c r="H327" s="24">
        <v>475</v>
      </c>
      <c r="I327" s="25">
        <v>1108.9000000000001</v>
      </c>
      <c r="J327" s="24">
        <v>29970</v>
      </c>
    </row>
    <row r="328" spans="1:10" ht="15" customHeight="1">
      <c r="A328" s="6" t="s">
        <v>933</v>
      </c>
      <c r="B328" s="7" t="s">
        <v>934</v>
      </c>
      <c r="C328" s="7" t="s">
        <v>930</v>
      </c>
      <c r="D328" s="20">
        <v>109800</v>
      </c>
      <c r="E328" s="22">
        <v>0.71719999999999995</v>
      </c>
      <c r="F328" s="22">
        <v>0.37290000000000001</v>
      </c>
      <c r="G328" s="23">
        <v>13.8</v>
      </c>
      <c r="H328" s="24">
        <v>649</v>
      </c>
      <c r="I328" s="25">
        <v>1515.1</v>
      </c>
      <c r="J328" s="24">
        <v>40949</v>
      </c>
    </row>
    <row r="329" spans="1:10" ht="15" customHeight="1">
      <c r="A329" s="6" t="s">
        <v>935</v>
      </c>
      <c r="B329" s="7" t="s">
        <v>936</v>
      </c>
      <c r="C329" s="7" t="s">
        <v>930</v>
      </c>
      <c r="D329" s="20">
        <v>109800</v>
      </c>
      <c r="E329" s="22">
        <v>0.6159</v>
      </c>
      <c r="F329" s="22">
        <v>0.32029999999999997</v>
      </c>
      <c r="G329" s="23">
        <v>11.8</v>
      </c>
      <c r="H329" s="24">
        <v>557</v>
      </c>
      <c r="I329" s="25">
        <v>1301.0999999999999</v>
      </c>
      <c r="J329" s="24">
        <v>35165</v>
      </c>
    </row>
    <row r="330" spans="1:10" ht="15" customHeight="1">
      <c r="A330" s="6" t="s">
        <v>937</v>
      </c>
      <c r="B330" s="7" t="s">
        <v>938</v>
      </c>
      <c r="C330" s="7" t="s">
        <v>930</v>
      </c>
      <c r="D330" s="20">
        <v>109800</v>
      </c>
      <c r="E330" s="22">
        <v>0.6321</v>
      </c>
      <c r="F330" s="22">
        <v>0.32869999999999999</v>
      </c>
      <c r="G330" s="23">
        <v>12.2</v>
      </c>
      <c r="H330" s="24">
        <v>572</v>
      </c>
      <c r="I330" s="25">
        <v>1335.3</v>
      </c>
      <c r="J330" s="24">
        <v>36090</v>
      </c>
    </row>
    <row r="331" spans="1:10" ht="15" customHeight="1">
      <c r="A331" s="6" t="s">
        <v>939</v>
      </c>
      <c r="B331" s="7" t="s">
        <v>940</v>
      </c>
      <c r="C331" s="7" t="s">
        <v>930</v>
      </c>
      <c r="D331" s="20">
        <v>109800</v>
      </c>
      <c r="E331" s="22">
        <v>0.62380000000000002</v>
      </c>
      <c r="F331" s="22">
        <v>0.32440000000000002</v>
      </c>
      <c r="G331" s="23">
        <v>12</v>
      </c>
      <c r="H331" s="24">
        <v>564</v>
      </c>
      <c r="I331" s="25">
        <v>1317.8</v>
      </c>
      <c r="J331" s="24">
        <v>35616</v>
      </c>
    </row>
    <row r="332" spans="1:10" ht="15" customHeight="1">
      <c r="A332" s="6" t="s">
        <v>941</v>
      </c>
      <c r="B332" s="7" t="s">
        <v>942</v>
      </c>
      <c r="C332" s="7" t="s">
        <v>930</v>
      </c>
      <c r="D332" s="20">
        <v>109800</v>
      </c>
      <c r="E332" s="22">
        <v>0.62570000000000003</v>
      </c>
      <c r="F332" s="22">
        <v>0.32540000000000002</v>
      </c>
      <c r="G332" s="23">
        <v>12</v>
      </c>
      <c r="H332" s="24">
        <v>566</v>
      </c>
      <c r="I332" s="25">
        <v>1321.8</v>
      </c>
      <c r="J332" s="24">
        <v>35725</v>
      </c>
    </row>
    <row r="333" spans="1:10" ht="15" customHeight="1">
      <c r="A333" s="6" t="s">
        <v>943</v>
      </c>
      <c r="B333" s="7" t="s">
        <v>944</v>
      </c>
      <c r="C333" s="7" t="s">
        <v>930</v>
      </c>
      <c r="D333" s="20">
        <v>109800</v>
      </c>
      <c r="E333" s="22">
        <v>0.6512</v>
      </c>
      <c r="F333" s="22">
        <v>0.33860000000000001</v>
      </c>
      <c r="G333" s="23">
        <v>12.5</v>
      </c>
      <c r="H333" s="24">
        <v>589</v>
      </c>
      <c r="I333" s="25">
        <v>1375.7</v>
      </c>
      <c r="J333" s="24">
        <v>37181</v>
      </c>
    </row>
    <row r="334" spans="1:10" ht="15" customHeight="1">
      <c r="A334" s="6" t="s">
        <v>945</v>
      </c>
      <c r="B334" s="7" t="s">
        <v>946</v>
      </c>
      <c r="C334" s="7" t="s">
        <v>930</v>
      </c>
      <c r="D334" s="20">
        <v>109800</v>
      </c>
      <c r="E334" s="22">
        <v>0.46650000000000003</v>
      </c>
      <c r="F334" s="22">
        <v>0.24260000000000001</v>
      </c>
      <c r="G334" s="23">
        <v>9</v>
      </c>
      <c r="H334" s="24">
        <v>422</v>
      </c>
      <c r="I334" s="25">
        <v>985.5</v>
      </c>
      <c r="J334" s="24">
        <v>26635</v>
      </c>
    </row>
    <row r="335" spans="1:10" ht="15" customHeight="1">
      <c r="A335" s="6" t="s">
        <v>947</v>
      </c>
      <c r="B335" s="7" t="s">
        <v>948</v>
      </c>
      <c r="C335" s="7" t="s">
        <v>930</v>
      </c>
      <c r="D335" s="20">
        <v>109800</v>
      </c>
      <c r="E335" s="22">
        <v>0.49540000000000001</v>
      </c>
      <c r="F335" s="22">
        <v>0.2576</v>
      </c>
      <c r="G335" s="23">
        <v>9.5</v>
      </c>
      <c r="H335" s="24">
        <v>448</v>
      </c>
      <c r="I335" s="25">
        <v>1046.5999999999999</v>
      </c>
      <c r="J335" s="24">
        <v>28285</v>
      </c>
    </row>
    <row r="336" spans="1:10" ht="15" customHeight="1">
      <c r="A336" s="6" t="s">
        <v>949</v>
      </c>
      <c r="B336" s="7" t="s">
        <v>950</v>
      </c>
      <c r="C336" s="7" t="s">
        <v>930</v>
      </c>
      <c r="D336" s="20">
        <v>109800</v>
      </c>
      <c r="E336" s="22">
        <v>0.63770000000000004</v>
      </c>
      <c r="F336" s="22">
        <v>0.33160000000000001</v>
      </c>
      <c r="G336" s="23">
        <v>12.3</v>
      </c>
      <c r="H336" s="24">
        <v>577</v>
      </c>
      <c r="I336" s="25">
        <v>1347.2</v>
      </c>
      <c r="J336" s="24">
        <v>36410</v>
      </c>
    </row>
    <row r="337" spans="1:10" ht="15" customHeight="1">
      <c r="A337" s="6" t="s">
        <v>951</v>
      </c>
      <c r="B337" s="7" t="s">
        <v>952</v>
      </c>
      <c r="C337" s="7" t="s">
        <v>930</v>
      </c>
      <c r="D337" s="20">
        <v>109800</v>
      </c>
      <c r="E337" s="22">
        <v>0.58750000000000002</v>
      </c>
      <c r="F337" s="22">
        <v>0.30549999999999999</v>
      </c>
      <c r="G337" s="23">
        <v>11.3</v>
      </c>
      <c r="H337" s="24">
        <v>531</v>
      </c>
      <c r="I337" s="25">
        <v>1241.0999999999999</v>
      </c>
      <c r="J337" s="24">
        <v>33544</v>
      </c>
    </row>
    <row r="338" spans="1:10" ht="15" customHeight="1">
      <c r="A338" s="6" t="s">
        <v>953</v>
      </c>
      <c r="B338" s="7" t="s">
        <v>335</v>
      </c>
      <c r="C338" s="7" t="s">
        <v>930</v>
      </c>
      <c r="D338" s="20">
        <v>109800</v>
      </c>
      <c r="E338" s="22">
        <v>0.61380000000000001</v>
      </c>
      <c r="F338" s="22">
        <v>0.31919999999999998</v>
      </c>
      <c r="G338" s="23">
        <v>11.8</v>
      </c>
      <c r="H338" s="24">
        <v>555</v>
      </c>
      <c r="I338" s="25">
        <v>1296.7</v>
      </c>
      <c r="J338" s="24">
        <v>35046</v>
      </c>
    </row>
    <row r="339" spans="1:10" ht="15" customHeight="1">
      <c r="A339" s="6" t="s">
        <v>954</v>
      </c>
      <c r="B339" s="7" t="s">
        <v>955</v>
      </c>
      <c r="C339" s="7" t="s">
        <v>930</v>
      </c>
      <c r="D339" s="20">
        <v>109800</v>
      </c>
      <c r="E339" s="22">
        <v>0.60599999999999998</v>
      </c>
      <c r="F339" s="22">
        <v>0.31509999999999999</v>
      </c>
      <c r="G339" s="23">
        <v>11.7</v>
      </c>
      <c r="H339" s="24">
        <v>548</v>
      </c>
      <c r="I339" s="25">
        <v>1280.2</v>
      </c>
      <c r="J339" s="24">
        <v>34600</v>
      </c>
    </row>
    <row r="340" spans="1:10" ht="15" customHeight="1">
      <c r="A340" s="6" t="s">
        <v>956</v>
      </c>
      <c r="B340" s="7" t="s">
        <v>957</v>
      </c>
      <c r="C340" s="7" t="s">
        <v>930</v>
      </c>
      <c r="D340" s="20">
        <v>109800</v>
      </c>
      <c r="E340" s="22">
        <v>0.61319999999999997</v>
      </c>
      <c r="F340" s="22">
        <v>0.31890000000000002</v>
      </c>
      <c r="G340" s="23">
        <v>11.8</v>
      </c>
      <c r="H340" s="24">
        <v>555</v>
      </c>
      <c r="I340" s="25">
        <v>1295.4000000000001</v>
      </c>
      <c r="J340" s="24">
        <v>35011</v>
      </c>
    </row>
    <row r="341" spans="1:10" ht="15" customHeight="1">
      <c r="A341" s="6" t="s">
        <v>958</v>
      </c>
      <c r="B341" s="7" t="s">
        <v>959</v>
      </c>
      <c r="C341" s="7" t="s">
        <v>960</v>
      </c>
      <c r="D341" s="20">
        <v>92667</v>
      </c>
      <c r="E341" s="22">
        <v>0.7964</v>
      </c>
      <c r="F341" s="22">
        <v>0.38229999999999997</v>
      </c>
      <c r="G341" s="23">
        <v>14.1</v>
      </c>
      <c r="H341" s="24">
        <v>665</v>
      </c>
      <c r="I341" s="25">
        <v>1310.7</v>
      </c>
      <c r="J341" s="24">
        <v>35424</v>
      </c>
    </row>
    <row r="342" spans="1:10" ht="15" customHeight="1">
      <c r="A342" s="6" t="s">
        <v>961</v>
      </c>
      <c r="B342" s="7" t="s">
        <v>962</v>
      </c>
      <c r="C342" s="7" t="s">
        <v>960</v>
      </c>
      <c r="D342" s="20">
        <v>92667</v>
      </c>
      <c r="E342" s="22">
        <v>0.78039999999999998</v>
      </c>
      <c r="F342" s="22">
        <v>0.37459999999999999</v>
      </c>
      <c r="G342" s="23">
        <v>13.9</v>
      </c>
      <c r="H342" s="24">
        <v>651</v>
      </c>
      <c r="I342" s="25">
        <v>1284.4000000000001</v>
      </c>
      <c r="J342" s="24">
        <v>34712</v>
      </c>
    </row>
    <row r="343" spans="1:10" ht="15" customHeight="1">
      <c r="A343" s="6" t="s">
        <v>963</v>
      </c>
      <c r="B343" s="7" t="s">
        <v>964</v>
      </c>
      <c r="C343" s="7" t="s">
        <v>960</v>
      </c>
      <c r="D343" s="20">
        <v>92667</v>
      </c>
      <c r="E343" s="22">
        <v>0.68069999999999997</v>
      </c>
      <c r="F343" s="22">
        <v>0.32669999999999999</v>
      </c>
      <c r="G343" s="23">
        <v>12.1</v>
      </c>
      <c r="H343" s="24">
        <v>568</v>
      </c>
      <c r="I343" s="25">
        <v>1120.3</v>
      </c>
      <c r="J343" s="24">
        <v>30278</v>
      </c>
    </row>
    <row r="344" spans="1:10" ht="15" customHeight="1">
      <c r="A344" s="6" t="s">
        <v>965</v>
      </c>
      <c r="B344" s="7" t="s">
        <v>966</v>
      </c>
      <c r="C344" s="7" t="s">
        <v>960</v>
      </c>
      <c r="D344" s="20">
        <v>92667</v>
      </c>
      <c r="E344" s="22">
        <v>0.69410000000000005</v>
      </c>
      <c r="F344" s="22">
        <v>0.3332</v>
      </c>
      <c r="G344" s="23">
        <v>12.3</v>
      </c>
      <c r="H344" s="24">
        <v>579</v>
      </c>
      <c r="I344" s="25">
        <v>1142.3</v>
      </c>
      <c r="J344" s="24">
        <v>30874</v>
      </c>
    </row>
    <row r="345" spans="1:10" ht="15" customHeight="1">
      <c r="A345" s="6" t="s">
        <v>967</v>
      </c>
      <c r="B345" s="7" t="s">
        <v>968</v>
      </c>
      <c r="C345" s="7" t="s">
        <v>960</v>
      </c>
      <c r="D345" s="20">
        <v>92667</v>
      </c>
      <c r="E345" s="22">
        <v>0.64249999999999996</v>
      </c>
      <c r="F345" s="22">
        <v>0.30840000000000001</v>
      </c>
      <c r="G345" s="23">
        <v>11.4</v>
      </c>
      <c r="H345" s="24">
        <v>536</v>
      </c>
      <c r="I345" s="25">
        <v>1057.4000000000001</v>
      </c>
      <c r="J345" s="24">
        <v>28579</v>
      </c>
    </row>
    <row r="346" spans="1:10" ht="15" customHeight="1">
      <c r="A346" s="6" t="s">
        <v>969</v>
      </c>
      <c r="B346" s="7" t="s">
        <v>970</v>
      </c>
      <c r="C346" s="7" t="s">
        <v>960</v>
      </c>
      <c r="D346" s="20">
        <v>92667</v>
      </c>
      <c r="E346" s="22">
        <v>0.74329999999999996</v>
      </c>
      <c r="F346" s="22">
        <v>0.35680000000000001</v>
      </c>
      <c r="G346" s="23">
        <v>13.2</v>
      </c>
      <c r="H346" s="24">
        <v>620</v>
      </c>
      <c r="I346" s="25">
        <v>1223.3</v>
      </c>
      <c r="J346" s="24">
        <v>33062</v>
      </c>
    </row>
    <row r="347" spans="1:10" ht="15" customHeight="1">
      <c r="A347" s="6" t="s">
        <v>971</v>
      </c>
      <c r="B347" s="7" t="s">
        <v>972</v>
      </c>
      <c r="C347" s="7" t="s">
        <v>973</v>
      </c>
      <c r="D347" s="20">
        <v>40308</v>
      </c>
      <c r="E347" s="22">
        <v>0.313</v>
      </c>
      <c r="F347" s="22">
        <v>0.18779999999999999</v>
      </c>
      <c r="G347" s="23">
        <v>6.9</v>
      </c>
      <c r="H347" s="24">
        <v>327</v>
      </c>
      <c r="I347" s="25">
        <v>280.10000000000002</v>
      </c>
      <c r="J347" s="24">
        <v>7570</v>
      </c>
    </row>
    <row r="348" spans="1:10" ht="15" customHeight="1">
      <c r="A348" s="6" t="s">
        <v>974</v>
      </c>
      <c r="B348" s="7" t="s">
        <v>975</v>
      </c>
      <c r="C348" s="7" t="s">
        <v>973</v>
      </c>
      <c r="D348" s="20">
        <v>40308</v>
      </c>
      <c r="E348" s="22">
        <v>0.30709999999999998</v>
      </c>
      <c r="F348" s="22">
        <v>0.18429999999999999</v>
      </c>
      <c r="G348" s="23">
        <v>6.8</v>
      </c>
      <c r="H348" s="24">
        <v>320</v>
      </c>
      <c r="I348" s="25">
        <v>274.8</v>
      </c>
      <c r="J348" s="24">
        <v>7427</v>
      </c>
    </row>
    <row r="349" spans="1:10" ht="15" customHeight="1">
      <c r="A349" s="6" t="s">
        <v>976</v>
      </c>
      <c r="B349" s="7" t="s">
        <v>977</v>
      </c>
      <c r="C349" s="7" t="s">
        <v>973</v>
      </c>
      <c r="D349" s="20">
        <v>40308</v>
      </c>
      <c r="E349" s="22">
        <v>0.30709999999999998</v>
      </c>
      <c r="F349" s="22">
        <v>0.18429999999999999</v>
      </c>
      <c r="G349" s="23">
        <v>6.8</v>
      </c>
      <c r="H349" s="24">
        <v>320</v>
      </c>
      <c r="I349" s="25">
        <v>274.8</v>
      </c>
      <c r="J349" s="24">
        <v>7427</v>
      </c>
    </row>
    <row r="350" spans="1:10" ht="15" customHeight="1">
      <c r="A350" s="6" t="s">
        <v>978</v>
      </c>
      <c r="B350" s="7" t="s">
        <v>979</v>
      </c>
      <c r="C350" s="7" t="s">
        <v>973</v>
      </c>
      <c r="D350" s="20">
        <v>40308</v>
      </c>
      <c r="E350" s="22">
        <v>0.35260000000000002</v>
      </c>
      <c r="F350" s="22">
        <v>0.21160000000000001</v>
      </c>
      <c r="G350" s="23">
        <v>7.8</v>
      </c>
      <c r="H350" s="24">
        <v>368</v>
      </c>
      <c r="I350" s="25">
        <v>315.5</v>
      </c>
      <c r="J350" s="24">
        <v>8528</v>
      </c>
    </row>
    <row r="351" spans="1:10" ht="15" customHeight="1">
      <c r="A351" s="6" t="s">
        <v>980</v>
      </c>
      <c r="B351" s="7" t="s">
        <v>981</v>
      </c>
      <c r="C351" s="7" t="s">
        <v>973</v>
      </c>
      <c r="D351" s="20">
        <v>40308</v>
      </c>
      <c r="E351" s="22">
        <v>0.30709999999999998</v>
      </c>
      <c r="F351" s="22">
        <v>0.18429999999999999</v>
      </c>
      <c r="G351" s="23">
        <v>6.8</v>
      </c>
      <c r="H351" s="24">
        <v>320</v>
      </c>
      <c r="I351" s="25">
        <v>274.8</v>
      </c>
      <c r="J351" s="24">
        <v>7427</v>
      </c>
    </row>
    <row r="352" spans="1:10" ht="15" customHeight="1">
      <c r="A352" s="6" t="s">
        <v>982</v>
      </c>
      <c r="B352" s="7" t="s">
        <v>983</v>
      </c>
      <c r="C352" s="7" t="s">
        <v>973</v>
      </c>
      <c r="D352" s="20">
        <v>40308</v>
      </c>
      <c r="E352" s="22">
        <v>0.38</v>
      </c>
      <c r="F352" s="22">
        <v>0.22800000000000001</v>
      </c>
      <c r="G352" s="23">
        <v>8.4</v>
      </c>
      <c r="H352" s="24">
        <v>396</v>
      </c>
      <c r="I352" s="25">
        <v>340</v>
      </c>
      <c r="J352" s="24">
        <v>9190</v>
      </c>
    </row>
    <row r="353" spans="1:10" ht="15" customHeight="1">
      <c r="A353" s="6" t="s">
        <v>984</v>
      </c>
      <c r="B353" s="7" t="s">
        <v>985</v>
      </c>
      <c r="C353" s="7" t="s">
        <v>973</v>
      </c>
      <c r="D353" s="20">
        <v>40308</v>
      </c>
      <c r="E353" s="22">
        <v>0.3004</v>
      </c>
      <c r="F353" s="22">
        <v>0.1802</v>
      </c>
      <c r="G353" s="23">
        <v>6.7</v>
      </c>
      <c r="H353" s="24">
        <v>313</v>
      </c>
      <c r="I353" s="25">
        <v>268.8</v>
      </c>
      <c r="J353" s="24">
        <v>7265</v>
      </c>
    </row>
    <row r="354" spans="1:10" ht="15" customHeight="1">
      <c r="A354" s="6" t="s">
        <v>986</v>
      </c>
      <c r="B354" s="7" t="s">
        <v>987</v>
      </c>
      <c r="C354" s="7" t="s">
        <v>973</v>
      </c>
      <c r="D354" s="20">
        <v>40308</v>
      </c>
      <c r="E354" s="22">
        <v>0.42930000000000001</v>
      </c>
      <c r="F354" s="22">
        <v>0.2576</v>
      </c>
      <c r="G354" s="23">
        <v>9.5</v>
      </c>
      <c r="H354" s="24">
        <v>448</v>
      </c>
      <c r="I354" s="25">
        <v>384.2</v>
      </c>
      <c r="J354" s="24">
        <v>10383</v>
      </c>
    </row>
    <row r="355" spans="1:10" ht="15" customHeight="1">
      <c r="A355" s="6" t="s">
        <v>988</v>
      </c>
      <c r="B355" s="7" t="s">
        <v>989</v>
      </c>
      <c r="C355" s="7" t="s">
        <v>973</v>
      </c>
      <c r="D355" s="20">
        <v>40308</v>
      </c>
      <c r="E355" s="22">
        <v>0.313</v>
      </c>
      <c r="F355" s="22">
        <v>0.18779999999999999</v>
      </c>
      <c r="G355" s="23">
        <v>6.9</v>
      </c>
      <c r="H355" s="24">
        <v>327</v>
      </c>
      <c r="I355" s="25">
        <v>280.10000000000002</v>
      </c>
      <c r="J355" s="24">
        <v>7570</v>
      </c>
    </row>
    <row r="356" spans="1:10" ht="15" customHeight="1">
      <c r="A356" s="6" t="s">
        <v>990</v>
      </c>
      <c r="B356" s="7" t="s">
        <v>991</v>
      </c>
      <c r="C356" s="7" t="s">
        <v>973</v>
      </c>
      <c r="D356" s="20">
        <v>40308</v>
      </c>
      <c r="E356" s="22">
        <v>0.29270000000000002</v>
      </c>
      <c r="F356" s="22">
        <v>0.17560000000000001</v>
      </c>
      <c r="G356" s="23">
        <v>6.5</v>
      </c>
      <c r="H356" s="24">
        <v>305</v>
      </c>
      <c r="I356" s="25">
        <v>261.89999999999998</v>
      </c>
      <c r="J356" s="24">
        <v>7079</v>
      </c>
    </row>
    <row r="357" spans="1:10" ht="15" customHeight="1">
      <c r="A357" s="6" t="s">
        <v>992</v>
      </c>
      <c r="B357" s="7" t="s">
        <v>993</v>
      </c>
      <c r="C357" s="7" t="s">
        <v>973</v>
      </c>
      <c r="D357" s="20">
        <v>40308</v>
      </c>
      <c r="E357" s="22">
        <v>0.27889999999999998</v>
      </c>
      <c r="F357" s="22">
        <v>0.1673</v>
      </c>
      <c r="G357" s="23">
        <v>6.2</v>
      </c>
      <c r="H357" s="24">
        <v>291</v>
      </c>
      <c r="I357" s="25">
        <v>249.6</v>
      </c>
      <c r="J357" s="24">
        <v>6745</v>
      </c>
    </row>
    <row r="358" spans="1:10" ht="15" customHeight="1">
      <c r="A358" s="6" t="s">
        <v>994</v>
      </c>
      <c r="B358" s="7" t="s">
        <v>995</v>
      </c>
      <c r="C358" s="7" t="s">
        <v>973</v>
      </c>
      <c r="D358" s="20">
        <v>40308</v>
      </c>
      <c r="E358" s="22">
        <v>0.313</v>
      </c>
      <c r="F358" s="22">
        <v>0.18779999999999999</v>
      </c>
      <c r="G358" s="23">
        <v>6.9</v>
      </c>
      <c r="H358" s="24">
        <v>327</v>
      </c>
      <c r="I358" s="25">
        <v>280.10000000000002</v>
      </c>
      <c r="J358" s="24">
        <v>7570</v>
      </c>
    </row>
    <row r="359" spans="1:10" ht="15" customHeight="1">
      <c r="A359" s="6" t="s">
        <v>996</v>
      </c>
      <c r="B359" s="7" t="s">
        <v>997</v>
      </c>
      <c r="C359" s="7" t="s">
        <v>973</v>
      </c>
      <c r="D359" s="20">
        <v>40308</v>
      </c>
      <c r="E359" s="22">
        <v>0.31519999999999998</v>
      </c>
      <c r="F359" s="22">
        <v>0.18909999999999999</v>
      </c>
      <c r="G359" s="23">
        <v>7</v>
      </c>
      <c r="H359" s="24">
        <v>329</v>
      </c>
      <c r="I359" s="25">
        <v>282.10000000000002</v>
      </c>
      <c r="J359" s="24">
        <v>7623</v>
      </c>
    </row>
    <row r="360" spans="1:10" ht="15" customHeight="1">
      <c r="A360" s="6" t="s">
        <v>998</v>
      </c>
      <c r="B360" s="7" t="s">
        <v>999</v>
      </c>
      <c r="C360" s="7" t="s">
        <v>973</v>
      </c>
      <c r="D360" s="20">
        <v>40308</v>
      </c>
      <c r="E360" s="22">
        <v>0.38</v>
      </c>
      <c r="F360" s="22">
        <v>0.22800000000000001</v>
      </c>
      <c r="G360" s="23">
        <v>8.4</v>
      </c>
      <c r="H360" s="24">
        <v>396</v>
      </c>
      <c r="I360" s="25">
        <v>340</v>
      </c>
      <c r="J360" s="24">
        <v>9190</v>
      </c>
    </row>
    <row r="361" spans="1:10" ht="15" customHeight="1">
      <c r="A361" s="6" t="s">
        <v>1000</v>
      </c>
      <c r="B361" s="7" t="s">
        <v>1001</v>
      </c>
      <c r="C361" s="7" t="s">
        <v>973</v>
      </c>
      <c r="D361" s="20">
        <v>40308</v>
      </c>
      <c r="E361" s="22">
        <v>0.30709999999999998</v>
      </c>
      <c r="F361" s="22">
        <v>0.18429999999999999</v>
      </c>
      <c r="G361" s="23">
        <v>6.8</v>
      </c>
      <c r="H361" s="24">
        <v>320</v>
      </c>
      <c r="I361" s="25">
        <v>274.8</v>
      </c>
      <c r="J361" s="24">
        <v>7427</v>
      </c>
    </row>
    <row r="362" spans="1:10" ht="15" customHeight="1">
      <c r="A362" s="6" t="s">
        <v>1002</v>
      </c>
      <c r="B362" s="7" t="s">
        <v>1003</v>
      </c>
      <c r="C362" s="7" t="s">
        <v>973</v>
      </c>
      <c r="D362" s="20">
        <v>40308</v>
      </c>
      <c r="E362" s="22">
        <v>0.33910000000000001</v>
      </c>
      <c r="F362" s="22">
        <v>0.20349999999999999</v>
      </c>
      <c r="G362" s="23">
        <v>7.5</v>
      </c>
      <c r="H362" s="24">
        <v>354</v>
      </c>
      <c r="I362" s="25">
        <v>303.39999999999998</v>
      </c>
      <c r="J362" s="24">
        <v>8201</v>
      </c>
    </row>
    <row r="363" spans="1:10" ht="15" customHeight="1">
      <c r="A363" s="6" t="s">
        <v>1004</v>
      </c>
      <c r="B363" s="7" t="s">
        <v>1005</v>
      </c>
      <c r="C363" s="7" t="s">
        <v>973</v>
      </c>
      <c r="D363" s="20">
        <v>40308</v>
      </c>
      <c r="E363" s="22">
        <v>0.31780000000000003</v>
      </c>
      <c r="F363" s="22">
        <v>0.19070000000000001</v>
      </c>
      <c r="G363" s="23">
        <v>7.1</v>
      </c>
      <c r="H363" s="24">
        <v>332</v>
      </c>
      <c r="I363" s="25">
        <v>284.39999999999998</v>
      </c>
      <c r="J363" s="24">
        <v>7686</v>
      </c>
    </row>
    <row r="364" spans="1:10" ht="15" customHeight="1">
      <c r="A364" s="6" t="s">
        <v>1006</v>
      </c>
      <c r="B364" s="7" t="s">
        <v>1007</v>
      </c>
      <c r="C364" s="7" t="s">
        <v>973</v>
      </c>
      <c r="D364" s="20">
        <v>40308</v>
      </c>
      <c r="E364" s="22">
        <v>0.48470000000000002</v>
      </c>
      <c r="F364" s="22">
        <v>0.2908</v>
      </c>
      <c r="G364" s="23">
        <v>10.8</v>
      </c>
      <c r="H364" s="24">
        <v>506</v>
      </c>
      <c r="I364" s="25">
        <v>433.7</v>
      </c>
      <c r="J364" s="24">
        <v>11722</v>
      </c>
    </row>
    <row r="365" spans="1:10" ht="15" customHeight="1">
      <c r="A365" s="6" t="s">
        <v>1008</v>
      </c>
      <c r="B365" s="7" t="s">
        <v>1009</v>
      </c>
      <c r="C365" s="7" t="s">
        <v>973</v>
      </c>
      <c r="D365" s="20">
        <v>40308</v>
      </c>
      <c r="E365" s="22">
        <v>0.39179999999999998</v>
      </c>
      <c r="F365" s="22">
        <v>0.2351</v>
      </c>
      <c r="G365" s="23">
        <v>8.6999999999999993</v>
      </c>
      <c r="H365" s="24">
        <v>409</v>
      </c>
      <c r="I365" s="25">
        <v>350.6</v>
      </c>
      <c r="J365" s="24">
        <v>9476</v>
      </c>
    </row>
    <row r="366" spans="1:10" ht="15" customHeight="1">
      <c r="A366" s="6" t="s">
        <v>1010</v>
      </c>
      <c r="B366" s="7" t="s">
        <v>1011</v>
      </c>
      <c r="C366" s="7" t="s">
        <v>973</v>
      </c>
      <c r="D366" s="20">
        <v>40308</v>
      </c>
      <c r="E366" s="22">
        <v>0.31440000000000001</v>
      </c>
      <c r="F366" s="22">
        <v>0.18859999999999999</v>
      </c>
      <c r="G366" s="23">
        <v>7</v>
      </c>
      <c r="H366" s="24">
        <v>328</v>
      </c>
      <c r="I366" s="25">
        <v>281.3</v>
      </c>
      <c r="J366" s="24">
        <v>7604</v>
      </c>
    </row>
    <row r="367" spans="1:10" ht="15" customHeight="1">
      <c r="A367" s="6" t="s">
        <v>1012</v>
      </c>
      <c r="B367" s="7" t="s">
        <v>1013</v>
      </c>
      <c r="C367" s="7" t="s">
        <v>973</v>
      </c>
      <c r="D367" s="20">
        <v>40308</v>
      </c>
      <c r="E367" s="22">
        <v>0.316</v>
      </c>
      <c r="F367" s="22">
        <v>0.18959999999999999</v>
      </c>
      <c r="G367" s="23">
        <v>7</v>
      </c>
      <c r="H367" s="24">
        <v>330</v>
      </c>
      <c r="I367" s="25">
        <v>282.8</v>
      </c>
      <c r="J367" s="24">
        <v>7642</v>
      </c>
    </row>
    <row r="368" spans="1:10" ht="15" customHeight="1">
      <c r="A368" s="6" t="s">
        <v>1014</v>
      </c>
      <c r="B368" s="7" t="s">
        <v>1015</v>
      </c>
      <c r="C368" s="7" t="s">
        <v>973</v>
      </c>
      <c r="D368" s="20">
        <v>40308</v>
      </c>
      <c r="E368" s="22">
        <v>0.27289999999999998</v>
      </c>
      <c r="F368" s="22">
        <v>0.16370000000000001</v>
      </c>
      <c r="G368" s="23">
        <v>6.1</v>
      </c>
      <c r="H368" s="24">
        <v>285</v>
      </c>
      <c r="I368" s="25">
        <v>244.2</v>
      </c>
      <c r="J368" s="24">
        <v>6600</v>
      </c>
    </row>
    <row r="369" spans="1:10" ht="15" customHeight="1">
      <c r="A369" s="6" t="s">
        <v>1016</v>
      </c>
      <c r="B369" s="7" t="s">
        <v>1017</v>
      </c>
      <c r="C369" s="7" t="s">
        <v>973</v>
      </c>
      <c r="D369" s="20">
        <v>40308</v>
      </c>
      <c r="E369" s="22">
        <v>0.2455</v>
      </c>
      <c r="F369" s="22">
        <v>0.14729999999999999</v>
      </c>
      <c r="G369" s="23">
        <v>5.5</v>
      </c>
      <c r="H369" s="24">
        <v>256</v>
      </c>
      <c r="I369" s="25">
        <v>219.7</v>
      </c>
      <c r="J369" s="24">
        <v>5937</v>
      </c>
    </row>
    <row r="370" spans="1:10" ht="15" customHeight="1">
      <c r="A370" s="6" t="s">
        <v>1018</v>
      </c>
      <c r="B370" s="7" t="s">
        <v>1019</v>
      </c>
      <c r="C370" s="7" t="s">
        <v>973</v>
      </c>
      <c r="D370" s="20">
        <v>40308</v>
      </c>
      <c r="E370" s="22">
        <v>0.27910000000000001</v>
      </c>
      <c r="F370" s="22">
        <v>0.16750000000000001</v>
      </c>
      <c r="G370" s="23">
        <v>6.2</v>
      </c>
      <c r="H370" s="24">
        <v>291</v>
      </c>
      <c r="I370" s="25">
        <v>249.7</v>
      </c>
      <c r="J370" s="24">
        <v>6750</v>
      </c>
    </row>
    <row r="371" spans="1:10" ht="15" customHeight="1">
      <c r="A371" s="6" t="s">
        <v>1020</v>
      </c>
      <c r="B371" s="7" t="s">
        <v>1021</v>
      </c>
      <c r="C371" s="7" t="s">
        <v>973</v>
      </c>
      <c r="D371" s="20">
        <v>40308</v>
      </c>
      <c r="E371" s="22">
        <v>0.25659999999999999</v>
      </c>
      <c r="F371" s="22">
        <v>0.154</v>
      </c>
      <c r="G371" s="23">
        <v>5.7</v>
      </c>
      <c r="H371" s="24">
        <v>268</v>
      </c>
      <c r="I371" s="25">
        <v>229.6</v>
      </c>
      <c r="J371" s="24">
        <v>6206</v>
      </c>
    </row>
    <row r="372" spans="1:10" ht="15" customHeight="1">
      <c r="A372" s="6" t="s">
        <v>1022</v>
      </c>
      <c r="B372" s="7" t="s">
        <v>1023</v>
      </c>
      <c r="C372" s="7" t="s">
        <v>973</v>
      </c>
      <c r="D372" s="20">
        <v>40308</v>
      </c>
      <c r="E372" s="22">
        <v>0.51370000000000005</v>
      </c>
      <c r="F372" s="22">
        <v>0.30819999999999997</v>
      </c>
      <c r="G372" s="23">
        <v>11.4</v>
      </c>
      <c r="H372" s="24">
        <v>536</v>
      </c>
      <c r="I372" s="25">
        <v>459.7</v>
      </c>
      <c r="J372" s="24">
        <v>12424</v>
      </c>
    </row>
    <row r="373" spans="1:10" ht="15" customHeight="1">
      <c r="A373" s="6" t="s">
        <v>1024</v>
      </c>
      <c r="B373" s="7" t="s">
        <v>1025</v>
      </c>
      <c r="C373" s="7" t="s">
        <v>1026</v>
      </c>
      <c r="D373" s="20">
        <v>143625</v>
      </c>
      <c r="E373" s="22">
        <v>0.21970000000000001</v>
      </c>
      <c r="F373" s="22">
        <v>0.1318</v>
      </c>
      <c r="G373" s="23">
        <v>4.9000000000000004</v>
      </c>
      <c r="H373" s="24">
        <v>229</v>
      </c>
      <c r="I373" s="25">
        <v>700.5</v>
      </c>
      <c r="J373" s="24">
        <v>18933</v>
      </c>
    </row>
    <row r="374" spans="1:10" ht="15" customHeight="1">
      <c r="A374" s="6" t="s">
        <v>1027</v>
      </c>
      <c r="B374" s="7" t="s">
        <v>1028</v>
      </c>
      <c r="C374" s="7" t="s">
        <v>1026</v>
      </c>
      <c r="D374" s="20">
        <v>143625</v>
      </c>
      <c r="E374" s="22">
        <v>0.23469999999999999</v>
      </c>
      <c r="F374" s="22">
        <v>0.14080000000000001</v>
      </c>
      <c r="G374" s="23">
        <v>5.2</v>
      </c>
      <c r="H374" s="24">
        <v>245</v>
      </c>
      <c r="I374" s="25">
        <v>748.3</v>
      </c>
      <c r="J374" s="24">
        <v>20225</v>
      </c>
    </row>
    <row r="375" spans="1:10" ht="15" customHeight="1">
      <c r="A375" s="6" t="s">
        <v>1029</v>
      </c>
      <c r="B375" s="7" t="s">
        <v>1030</v>
      </c>
      <c r="C375" s="7" t="s">
        <v>1026</v>
      </c>
      <c r="D375" s="20">
        <v>143625</v>
      </c>
      <c r="E375" s="22">
        <v>0.29749999999999999</v>
      </c>
      <c r="F375" s="22">
        <v>0.17849999999999999</v>
      </c>
      <c r="G375" s="23">
        <v>6.6</v>
      </c>
      <c r="H375" s="24">
        <v>310</v>
      </c>
      <c r="I375" s="25">
        <v>948.6</v>
      </c>
      <c r="J375" s="24">
        <v>25637</v>
      </c>
    </row>
    <row r="376" spans="1:10" ht="15" customHeight="1">
      <c r="A376" s="6" t="s">
        <v>1031</v>
      </c>
      <c r="B376" s="7" t="s">
        <v>1032</v>
      </c>
      <c r="C376" s="7" t="s">
        <v>1026</v>
      </c>
      <c r="D376" s="20">
        <v>143625</v>
      </c>
      <c r="E376" s="22">
        <v>0.246</v>
      </c>
      <c r="F376" s="22">
        <v>0.14760000000000001</v>
      </c>
      <c r="G376" s="23">
        <v>5.5</v>
      </c>
      <c r="H376" s="24">
        <v>257</v>
      </c>
      <c r="I376" s="25">
        <v>784.4</v>
      </c>
      <c r="J376" s="24">
        <v>21199</v>
      </c>
    </row>
    <row r="377" spans="1:10" ht="15" customHeight="1">
      <c r="A377" s="6" t="s">
        <v>1033</v>
      </c>
      <c r="B377" s="7" t="s">
        <v>1034</v>
      </c>
      <c r="C377" s="7" t="s">
        <v>1026</v>
      </c>
      <c r="D377" s="20">
        <v>143625</v>
      </c>
      <c r="E377" s="22">
        <v>0.21970000000000001</v>
      </c>
      <c r="F377" s="22">
        <v>0.1318</v>
      </c>
      <c r="G377" s="23">
        <v>4.9000000000000004</v>
      </c>
      <c r="H377" s="24">
        <v>229</v>
      </c>
      <c r="I377" s="25">
        <v>700.5</v>
      </c>
      <c r="J377" s="24">
        <v>18933</v>
      </c>
    </row>
    <row r="378" spans="1:10" ht="15" customHeight="1">
      <c r="A378" s="6" t="s">
        <v>1035</v>
      </c>
      <c r="B378" s="7" t="s">
        <v>1036</v>
      </c>
      <c r="C378" s="7" t="s">
        <v>1026</v>
      </c>
      <c r="D378" s="20">
        <v>143625</v>
      </c>
      <c r="E378" s="22">
        <v>0.27289999999999998</v>
      </c>
      <c r="F378" s="22">
        <v>0.16370000000000001</v>
      </c>
      <c r="G378" s="23">
        <v>6.1</v>
      </c>
      <c r="H378" s="24">
        <v>285</v>
      </c>
      <c r="I378" s="25">
        <v>870.1</v>
      </c>
      <c r="J378" s="24">
        <v>23517</v>
      </c>
    </row>
    <row r="379" spans="1:10" ht="15" customHeight="1">
      <c r="A379" s="6" t="s">
        <v>1037</v>
      </c>
      <c r="B379" s="7" t="s">
        <v>1038</v>
      </c>
      <c r="C379" s="7" t="s">
        <v>1026</v>
      </c>
      <c r="D379" s="20">
        <v>143625</v>
      </c>
      <c r="E379" s="22">
        <v>0.2374</v>
      </c>
      <c r="F379" s="22">
        <v>0.1424</v>
      </c>
      <c r="G379" s="23">
        <v>5.3</v>
      </c>
      <c r="H379" s="24">
        <v>248</v>
      </c>
      <c r="I379" s="25">
        <v>756.9</v>
      </c>
      <c r="J379" s="24">
        <v>20458</v>
      </c>
    </row>
    <row r="380" spans="1:10" ht="15" customHeight="1">
      <c r="A380" s="6" t="s">
        <v>1039</v>
      </c>
      <c r="B380" s="7" t="s">
        <v>1040</v>
      </c>
      <c r="C380" s="7" t="s">
        <v>1026</v>
      </c>
      <c r="D380" s="20">
        <v>143625</v>
      </c>
      <c r="E380" s="22">
        <v>0.2427</v>
      </c>
      <c r="F380" s="22">
        <v>0.14560000000000001</v>
      </c>
      <c r="G380" s="23">
        <v>5.4</v>
      </c>
      <c r="H380" s="24">
        <v>253</v>
      </c>
      <c r="I380" s="25">
        <v>773.8</v>
      </c>
      <c r="J380" s="24">
        <v>20915</v>
      </c>
    </row>
    <row r="381" spans="1:10" ht="15" customHeight="1">
      <c r="A381" s="6" t="s">
        <v>1041</v>
      </c>
      <c r="B381" s="7" t="s">
        <v>1042</v>
      </c>
      <c r="C381" s="7" t="s">
        <v>1043</v>
      </c>
      <c r="D381" s="20">
        <v>59750</v>
      </c>
      <c r="E381" s="22">
        <v>0.22239999999999999</v>
      </c>
      <c r="F381" s="22">
        <v>0.13339999999999999</v>
      </c>
      <c r="G381" s="23">
        <v>4.9000000000000004</v>
      </c>
      <c r="H381" s="24">
        <v>232</v>
      </c>
      <c r="I381" s="25">
        <v>295</v>
      </c>
      <c r="J381" s="24">
        <v>7973</v>
      </c>
    </row>
    <row r="382" spans="1:10" ht="15" customHeight="1">
      <c r="A382" s="6" t="s">
        <v>1044</v>
      </c>
      <c r="B382" s="7" t="s">
        <v>1045</v>
      </c>
      <c r="C382" s="7" t="s">
        <v>1043</v>
      </c>
      <c r="D382" s="20">
        <v>59750</v>
      </c>
      <c r="E382" s="22">
        <v>0.22239999999999999</v>
      </c>
      <c r="F382" s="22">
        <v>0.13339999999999999</v>
      </c>
      <c r="G382" s="23">
        <v>4.9000000000000004</v>
      </c>
      <c r="H382" s="24">
        <v>232</v>
      </c>
      <c r="I382" s="25">
        <v>295</v>
      </c>
      <c r="J382" s="24">
        <v>7973</v>
      </c>
    </row>
    <row r="383" spans="1:10" ht="15" customHeight="1">
      <c r="A383" s="6" t="s">
        <v>1046</v>
      </c>
      <c r="B383" s="7" t="s">
        <v>1047</v>
      </c>
      <c r="C383" s="7" t="s">
        <v>1043</v>
      </c>
      <c r="D383" s="20">
        <v>59750</v>
      </c>
      <c r="E383" s="22">
        <v>0.22120000000000001</v>
      </c>
      <c r="F383" s="22">
        <v>0.13270000000000001</v>
      </c>
      <c r="G383" s="23">
        <v>4.9000000000000004</v>
      </c>
      <c r="H383" s="24">
        <v>231</v>
      </c>
      <c r="I383" s="25">
        <v>293.39999999999998</v>
      </c>
      <c r="J383" s="24">
        <v>7930</v>
      </c>
    </row>
    <row r="384" spans="1:10" ht="15" customHeight="1">
      <c r="A384" s="6" t="s">
        <v>1048</v>
      </c>
      <c r="B384" s="7" t="s">
        <v>1049</v>
      </c>
      <c r="C384" s="7" t="s">
        <v>1043</v>
      </c>
      <c r="D384" s="20">
        <v>59750</v>
      </c>
      <c r="E384" s="22">
        <v>0.22520000000000001</v>
      </c>
      <c r="F384" s="22">
        <v>0.1351</v>
      </c>
      <c r="G384" s="23">
        <v>5</v>
      </c>
      <c r="H384" s="24">
        <v>235</v>
      </c>
      <c r="I384" s="25">
        <v>298.7</v>
      </c>
      <c r="J384" s="24">
        <v>8073</v>
      </c>
    </row>
    <row r="385" spans="1:10" ht="15" customHeight="1">
      <c r="A385" s="6" t="s">
        <v>1050</v>
      </c>
      <c r="B385" s="7" t="s">
        <v>1051</v>
      </c>
      <c r="C385" s="7" t="s">
        <v>1043</v>
      </c>
      <c r="D385" s="20">
        <v>59750</v>
      </c>
      <c r="E385" s="22">
        <v>0.224</v>
      </c>
      <c r="F385" s="22">
        <v>0.13439999999999999</v>
      </c>
      <c r="G385" s="23">
        <v>5</v>
      </c>
      <c r="H385" s="24">
        <v>234</v>
      </c>
      <c r="I385" s="25">
        <v>297.10000000000002</v>
      </c>
      <c r="J385" s="24">
        <v>8030</v>
      </c>
    </row>
    <row r="386" spans="1:10" ht="15" customHeight="1">
      <c r="A386" s="6" t="s">
        <v>1052</v>
      </c>
      <c r="B386" s="7" t="s">
        <v>1053</v>
      </c>
      <c r="C386" s="7" t="s">
        <v>1043</v>
      </c>
      <c r="D386" s="20">
        <v>59750</v>
      </c>
      <c r="E386" s="22">
        <v>0.22520000000000001</v>
      </c>
      <c r="F386" s="22">
        <v>0.1351</v>
      </c>
      <c r="G386" s="23">
        <v>5</v>
      </c>
      <c r="H386" s="24">
        <v>235</v>
      </c>
      <c r="I386" s="25">
        <v>298.7</v>
      </c>
      <c r="J386" s="24">
        <v>8073</v>
      </c>
    </row>
    <row r="387" spans="1:10" ht="15" customHeight="1">
      <c r="A387" s="6" t="s">
        <v>1054</v>
      </c>
      <c r="B387" s="7" t="s">
        <v>1055</v>
      </c>
      <c r="C387" s="7" t="s">
        <v>1043</v>
      </c>
      <c r="D387" s="20">
        <v>59750</v>
      </c>
      <c r="E387" s="22">
        <v>0.26140000000000002</v>
      </c>
      <c r="F387" s="22">
        <v>0.15679999999999999</v>
      </c>
      <c r="G387" s="23">
        <v>5.8</v>
      </c>
      <c r="H387" s="24">
        <v>273</v>
      </c>
      <c r="I387" s="25">
        <v>346.7</v>
      </c>
      <c r="J387" s="24">
        <v>9371</v>
      </c>
    </row>
    <row r="388" spans="1:10" ht="15" customHeight="1">
      <c r="A388" s="6" t="s">
        <v>1056</v>
      </c>
      <c r="B388" s="7" t="s">
        <v>1057</v>
      </c>
      <c r="C388" s="7" t="s">
        <v>1043</v>
      </c>
      <c r="D388" s="20">
        <v>59750</v>
      </c>
      <c r="E388" s="22">
        <v>0.22639999999999999</v>
      </c>
      <c r="F388" s="22">
        <v>0.1358</v>
      </c>
      <c r="G388" s="23">
        <v>5</v>
      </c>
      <c r="H388" s="24">
        <v>236</v>
      </c>
      <c r="I388" s="25">
        <v>300.3</v>
      </c>
      <c r="J388" s="24">
        <v>8116</v>
      </c>
    </row>
    <row r="389" spans="1:10" ht="15" customHeight="1">
      <c r="A389" s="6" t="s">
        <v>1058</v>
      </c>
      <c r="B389" s="7" t="s">
        <v>1059</v>
      </c>
      <c r="C389" s="7" t="s">
        <v>1060</v>
      </c>
      <c r="D389" s="20">
        <v>94680</v>
      </c>
      <c r="E389" s="22">
        <v>0.33700000000000002</v>
      </c>
      <c r="F389" s="22">
        <v>0.18540000000000001</v>
      </c>
      <c r="G389" s="23">
        <v>6.9</v>
      </c>
      <c r="H389" s="24">
        <v>322</v>
      </c>
      <c r="I389" s="25">
        <v>649.29999999999995</v>
      </c>
      <c r="J389" s="24">
        <v>17549</v>
      </c>
    </row>
    <row r="390" spans="1:10" ht="15" customHeight="1">
      <c r="A390" s="6" t="s">
        <v>1061</v>
      </c>
      <c r="B390" s="7" t="s">
        <v>1062</v>
      </c>
      <c r="C390" s="7" t="s">
        <v>1060</v>
      </c>
      <c r="D390" s="20">
        <v>94680</v>
      </c>
      <c r="E390" s="22">
        <v>0.45739999999999997</v>
      </c>
      <c r="F390" s="22">
        <v>0.25159999999999999</v>
      </c>
      <c r="G390" s="23">
        <v>9.3000000000000007</v>
      </c>
      <c r="H390" s="24">
        <v>437</v>
      </c>
      <c r="I390" s="25">
        <v>881.3</v>
      </c>
      <c r="J390" s="24">
        <v>23819</v>
      </c>
    </row>
    <row r="391" spans="1:10" ht="15" customHeight="1">
      <c r="A391" s="6" t="s">
        <v>1063</v>
      </c>
      <c r="B391" s="7" t="s">
        <v>1064</v>
      </c>
      <c r="C391" s="7" t="s">
        <v>1060</v>
      </c>
      <c r="D391" s="20">
        <v>94680</v>
      </c>
      <c r="E391" s="22">
        <v>0.26640000000000003</v>
      </c>
      <c r="F391" s="22">
        <v>0.14649999999999999</v>
      </c>
      <c r="G391" s="23">
        <v>5.4</v>
      </c>
      <c r="H391" s="24">
        <v>255</v>
      </c>
      <c r="I391" s="25">
        <v>513.29999999999995</v>
      </c>
      <c r="J391" s="24">
        <v>13873</v>
      </c>
    </row>
    <row r="392" spans="1:10" ht="15" customHeight="1">
      <c r="A392" s="6" t="s">
        <v>1065</v>
      </c>
      <c r="B392" s="7" t="s">
        <v>1066</v>
      </c>
      <c r="C392" s="7" t="s">
        <v>1060</v>
      </c>
      <c r="D392" s="20">
        <v>94680</v>
      </c>
      <c r="E392" s="22">
        <v>0.3</v>
      </c>
      <c r="F392" s="22">
        <v>0.16500000000000001</v>
      </c>
      <c r="G392" s="23">
        <v>6.1</v>
      </c>
      <c r="H392" s="24">
        <v>287</v>
      </c>
      <c r="I392" s="25">
        <v>578</v>
      </c>
      <c r="J392" s="24">
        <v>15622</v>
      </c>
    </row>
    <row r="393" spans="1:10" ht="15" customHeight="1">
      <c r="A393" s="6" t="s">
        <v>1067</v>
      </c>
      <c r="B393" s="7" t="s">
        <v>1068</v>
      </c>
      <c r="C393" s="7" t="s">
        <v>1060</v>
      </c>
      <c r="D393" s="20">
        <v>94680</v>
      </c>
      <c r="E393" s="22">
        <v>0.25069999999999998</v>
      </c>
      <c r="F393" s="22">
        <v>0.13789999999999999</v>
      </c>
      <c r="G393" s="23">
        <v>5.0999999999999996</v>
      </c>
      <c r="H393" s="24">
        <v>240</v>
      </c>
      <c r="I393" s="25">
        <v>483</v>
      </c>
      <c r="J393" s="24">
        <v>13055</v>
      </c>
    </row>
    <row r="394" spans="1:10" ht="15" customHeight="1">
      <c r="A394" s="6" t="s">
        <v>1069</v>
      </c>
      <c r="B394" s="7" t="s">
        <v>1070</v>
      </c>
      <c r="C394" s="7" t="s">
        <v>1060</v>
      </c>
      <c r="D394" s="20">
        <v>94680</v>
      </c>
      <c r="E394" s="22">
        <v>0.36930000000000002</v>
      </c>
      <c r="F394" s="22">
        <v>0.2031</v>
      </c>
      <c r="G394" s="23">
        <v>7.5</v>
      </c>
      <c r="H394" s="24">
        <v>353</v>
      </c>
      <c r="I394" s="25">
        <v>711.5</v>
      </c>
      <c r="J394" s="24">
        <v>19231</v>
      </c>
    </row>
    <row r="395" spans="1:10" ht="15" customHeight="1">
      <c r="A395" s="6" t="s">
        <v>1071</v>
      </c>
      <c r="B395" s="7" t="s">
        <v>1072</v>
      </c>
      <c r="C395" s="7" t="s">
        <v>1060</v>
      </c>
      <c r="D395" s="20">
        <v>94680</v>
      </c>
      <c r="E395" s="22">
        <v>0.3624</v>
      </c>
      <c r="F395" s="22">
        <v>0.1993</v>
      </c>
      <c r="G395" s="23">
        <v>7.4</v>
      </c>
      <c r="H395" s="24">
        <v>347</v>
      </c>
      <c r="I395" s="25">
        <v>698.2</v>
      </c>
      <c r="J395" s="24">
        <v>18872</v>
      </c>
    </row>
    <row r="396" spans="1:10" ht="15" customHeight="1">
      <c r="A396" s="6" t="s">
        <v>1073</v>
      </c>
      <c r="B396" s="7" t="s">
        <v>1074</v>
      </c>
      <c r="C396" s="7" t="s">
        <v>1060</v>
      </c>
      <c r="D396" s="20">
        <v>94680</v>
      </c>
      <c r="E396" s="22">
        <v>0.34360000000000002</v>
      </c>
      <c r="F396" s="22">
        <v>0.189</v>
      </c>
      <c r="G396" s="23">
        <v>7</v>
      </c>
      <c r="H396" s="24">
        <v>329</v>
      </c>
      <c r="I396" s="25">
        <v>662</v>
      </c>
      <c r="J396" s="24">
        <v>17893</v>
      </c>
    </row>
    <row r="397" spans="1:10" ht="15" customHeight="1">
      <c r="A397" s="6" t="s">
        <v>1075</v>
      </c>
      <c r="B397" s="7" t="s">
        <v>1076</v>
      </c>
      <c r="C397" s="7" t="s">
        <v>1060</v>
      </c>
      <c r="D397" s="20">
        <v>94680</v>
      </c>
      <c r="E397" s="22">
        <v>0.32979999999999998</v>
      </c>
      <c r="F397" s="22">
        <v>0.18140000000000001</v>
      </c>
      <c r="G397" s="23">
        <v>6.7</v>
      </c>
      <c r="H397" s="24">
        <v>315</v>
      </c>
      <c r="I397" s="25">
        <v>635.4</v>
      </c>
      <c r="J397" s="24">
        <v>17174</v>
      </c>
    </row>
    <row r="398" spans="1:10" ht="15" customHeight="1">
      <c r="A398" s="6" t="s">
        <v>1077</v>
      </c>
      <c r="B398" s="7" t="s">
        <v>1078</v>
      </c>
      <c r="C398" s="7" t="s">
        <v>1060</v>
      </c>
      <c r="D398" s="20">
        <v>94680</v>
      </c>
      <c r="E398" s="22">
        <v>0.23380000000000001</v>
      </c>
      <c r="F398" s="22">
        <v>0.12859999999999999</v>
      </c>
      <c r="G398" s="23">
        <v>4.8</v>
      </c>
      <c r="H398" s="24">
        <v>224</v>
      </c>
      <c r="I398" s="25">
        <v>450.5</v>
      </c>
      <c r="J398" s="24">
        <v>12175</v>
      </c>
    </row>
    <row r="399" spans="1:10" ht="15" customHeight="1">
      <c r="A399" s="6" t="s">
        <v>1079</v>
      </c>
      <c r="B399" s="7" t="s">
        <v>1080</v>
      </c>
      <c r="C399" s="7" t="s">
        <v>1060</v>
      </c>
      <c r="D399" s="20">
        <v>94680</v>
      </c>
      <c r="E399" s="22">
        <v>0.23150000000000001</v>
      </c>
      <c r="F399" s="22">
        <v>0.1273</v>
      </c>
      <c r="G399" s="23">
        <v>4.7</v>
      </c>
      <c r="H399" s="24">
        <v>221</v>
      </c>
      <c r="I399" s="25">
        <v>446</v>
      </c>
      <c r="J399" s="24">
        <v>12055</v>
      </c>
    </row>
    <row r="400" spans="1:10" ht="15" customHeight="1">
      <c r="A400" s="6" t="s">
        <v>1081</v>
      </c>
      <c r="B400" s="7" t="s">
        <v>1082</v>
      </c>
      <c r="C400" s="7" t="s">
        <v>1060</v>
      </c>
      <c r="D400" s="20">
        <v>94680</v>
      </c>
      <c r="E400" s="22">
        <v>0.316</v>
      </c>
      <c r="F400" s="22">
        <v>0.17380000000000001</v>
      </c>
      <c r="G400" s="23">
        <v>6.4</v>
      </c>
      <c r="H400" s="24">
        <v>302</v>
      </c>
      <c r="I400" s="25">
        <v>608.79999999999995</v>
      </c>
      <c r="J400" s="24">
        <v>16455</v>
      </c>
    </row>
    <row r="401" spans="1:10" ht="15" customHeight="1">
      <c r="A401" s="6" t="s">
        <v>1083</v>
      </c>
      <c r="B401" s="7" t="s">
        <v>1084</v>
      </c>
      <c r="C401" s="7" t="s">
        <v>1060</v>
      </c>
      <c r="D401" s="20">
        <v>94680</v>
      </c>
      <c r="E401" s="22">
        <v>0.24579999999999999</v>
      </c>
      <c r="F401" s="22">
        <v>0.13519999999999999</v>
      </c>
      <c r="G401" s="23">
        <v>5</v>
      </c>
      <c r="H401" s="24">
        <v>235</v>
      </c>
      <c r="I401" s="25">
        <v>473.6</v>
      </c>
      <c r="J401" s="24">
        <v>12800</v>
      </c>
    </row>
    <row r="402" spans="1:10" ht="15" customHeight="1">
      <c r="A402" s="6" t="s">
        <v>1085</v>
      </c>
      <c r="B402" s="7" t="s">
        <v>1086</v>
      </c>
      <c r="C402" s="7" t="s">
        <v>1060</v>
      </c>
      <c r="D402" s="20">
        <v>94680</v>
      </c>
      <c r="E402" s="22">
        <v>0.33019999999999999</v>
      </c>
      <c r="F402" s="22">
        <v>0.18160000000000001</v>
      </c>
      <c r="G402" s="23">
        <v>6.7</v>
      </c>
      <c r="H402" s="24">
        <v>316</v>
      </c>
      <c r="I402" s="25">
        <v>636.20000000000005</v>
      </c>
      <c r="J402" s="24">
        <v>17195</v>
      </c>
    </row>
    <row r="403" spans="1:10" ht="15" customHeight="1">
      <c r="A403" s="6" t="s">
        <v>1087</v>
      </c>
      <c r="B403" s="7" t="s">
        <v>1088</v>
      </c>
      <c r="C403" s="7" t="s">
        <v>1060</v>
      </c>
      <c r="D403" s="20">
        <v>94680</v>
      </c>
      <c r="E403" s="22">
        <v>0.29139999999999999</v>
      </c>
      <c r="F403" s="22">
        <v>0.1603</v>
      </c>
      <c r="G403" s="23">
        <v>5.9</v>
      </c>
      <c r="H403" s="24">
        <v>279</v>
      </c>
      <c r="I403" s="25">
        <v>561.5</v>
      </c>
      <c r="J403" s="24">
        <v>15174</v>
      </c>
    </row>
    <row r="404" spans="1:10" ht="15" customHeight="1">
      <c r="A404" s="6" t="s">
        <v>1089</v>
      </c>
      <c r="B404" s="7" t="s">
        <v>1090</v>
      </c>
      <c r="C404" s="7" t="s">
        <v>1060</v>
      </c>
      <c r="D404" s="20">
        <v>94680</v>
      </c>
      <c r="E404" s="22">
        <v>0.29039999999999999</v>
      </c>
      <c r="F404" s="22">
        <v>0.15970000000000001</v>
      </c>
      <c r="G404" s="23">
        <v>5.9</v>
      </c>
      <c r="H404" s="24">
        <v>278</v>
      </c>
      <c r="I404" s="25">
        <v>559.5</v>
      </c>
      <c r="J404" s="24">
        <v>15122</v>
      </c>
    </row>
    <row r="405" spans="1:10" ht="15" customHeight="1">
      <c r="A405" s="6" t="s">
        <v>1091</v>
      </c>
      <c r="B405" s="7" t="s">
        <v>1092</v>
      </c>
      <c r="C405" s="7" t="s">
        <v>1060</v>
      </c>
      <c r="D405" s="20">
        <v>94680</v>
      </c>
      <c r="E405" s="22">
        <v>0.4052</v>
      </c>
      <c r="F405" s="22">
        <v>0.22289999999999999</v>
      </c>
      <c r="G405" s="23">
        <v>8.1999999999999993</v>
      </c>
      <c r="H405" s="24">
        <v>388</v>
      </c>
      <c r="I405" s="25">
        <v>780.7</v>
      </c>
      <c r="J405" s="24">
        <v>21100</v>
      </c>
    </row>
    <row r="406" spans="1:10" ht="15" customHeight="1">
      <c r="A406" s="6" t="s">
        <v>1093</v>
      </c>
      <c r="B406" s="7" t="s">
        <v>1094</v>
      </c>
      <c r="C406" s="7" t="s">
        <v>1060</v>
      </c>
      <c r="D406" s="20">
        <v>94680</v>
      </c>
      <c r="E406" s="22">
        <v>0.26140000000000002</v>
      </c>
      <c r="F406" s="22">
        <v>0.14380000000000001</v>
      </c>
      <c r="G406" s="23">
        <v>5.3</v>
      </c>
      <c r="H406" s="24">
        <v>250</v>
      </c>
      <c r="I406" s="25">
        <v>503.6</v>
      </c>
      <c r="J406" s="24">
        <v>13612</v>
      </c>
    </row>
    <row r="407" spans="1:10" ht="15" customHeight="1">
      <c r="A407" s="6" t="s">
        <v>1095</v>
      </c>
      <c r="B407" s="7" t="s">
        <v>1096</v>
      </c>
      <c r="C407" s="7" t="s">
        <v>1060</v>
      </c>
      <c r="D407" s="20">
        <v>94680</v>
      </c>
      <c r="E407" s="22">
        <v>0.25829999999999997</v>
      </c>
      <c r="F407" s="22">
        <v>0.1421</v>
      </c>
      <c r="G407" s="23">
        <v>5.3</v>
      </c>
      <c r="H407" s="24">
        <v>247</v>
      </c>
      <c r="I407" s="25">
        <v>497.7</v>
      </c>
      <c r="J407" s="24">
        <v>13451</v>
      </c>
    </row>
    <row r="408" spans="1:10" ht="15" customHeight="1">
      <c r="A408" s="6" t="s">
        <v>1097</v>
      </c>
      <c r="B408" s="7" t="s">
        <v>1098</v>
      </c>
      <c r="C408" s="7" t="s">
        <v>1060</v>
      </c>
      <c r="D408" s="20">
        <v>94680</v>
      </c>
      <c r="E408" s="22">
        <v>0.26140000000000002</v>
      </c>
      <c r="F408" s="22">
        <v>0.14380000000000001</v>
      </c>
      <c r="G408" s="23">
        <v>5.3</v>
      </c>
      <c r="H408" s="24">
        <v>250</v>
      </c>
      <c r="I408" s="25">
        <v>503.6</v>
      </c>
      <c r="J408" s="24">
        <v>13612</v>
      </c>
    </row>
    <row r="409" spans="1:10" ht="15" customHeight="1">
      <c r="A409" s="6" t="s">
        <v>1099</v>
      </c>
      <c r="B409" s="7" t="s">
        <v>1100</v>
      </c>
      <c r="C409" s="7" t="s">
        <v>1060</v>
      </c>
      <c r="D409" s="20">
        <v>94680</v>
      </c>
      <c r="E409" s="22">
        <v>0.47620000000000001</v>
      </c>
      <c r="F409" s="22">
        <v>0.26190000000000002</v>
      </c>
      <c r="G409" s="23">
        <v>9.6999999999999993</v>
      </c>
      <c r="H409" s="24">
        <v>455</v>
      </c>
      <c r="I409" s="25">
        <v>917.5</v>
      </c>
      <c r="J409" s="24">
        <v>24798</v>
      </c>
    </row>
    <row r="410" spans="1:10" ht="15" customHeight="1">
      <c r="A410" s="6" t="s">
        <v>1101</v>
      </c>
      <c r="B410" s="7" t="s">
        <v>1102</v>
      </c>
      <c r="C410" s="7" t="s">
        <v>1060</v>
      </c>
      <c r="D410" s="20">
        <v>94680</v>
      </c>
      <c r="E410" s="22">
        <v>0.37430000000000002</v>
      </c>
      <c r="F410" s="22">
        <v>0.2059</v>
      </c>
      <c r="G410" s="23">
        <v>7.6</v>
      </c>
      <c r="H410" s="24">
        <v>358</v>
      </c>
      <c r="I410" s="25">
        <v>721.2</v>
      </c>
      <c r="J410" s="24">
        <v>19491</v>
      </c>
    </row>
    <row r="411" spans="1:10" ht="15" customHeight="1">
      <c r="A411" s="6" t="s">
        <v>1103</v>
      </c>
      <c r="B411" s="7" t="s">
        <v>1104</v>
      </c>
      <c r="C411" s="7" t="s">
        <v>1060</v>
      </c>
      <c r="D411" s="20">
        <v>94680</v>
      </c>
      <c r="E411" s="22">
        <v>0.1961</v>
      </c>
      <c r="F411" s="22">
        <v>0.1079</v>
      </c>
      <c r="G411" s="23">
        <v>4</v>
      </c>
      <c r="H411" s="24">
        <v>188</v>
      </c>
      <c r="I411" s="25">
        <v>377.8</v>
      </c>
      <c r="J411" s="24">
        <v>10212</v>
      </c>
    </row>
    <row r="412" spans="1:10" ht="15" customHeight="1">
      <c r="A412" s="6" t="s">
        <v>1105</v>
      </c>
      <c r="B412" s="7" t="s">
        <v>1106</v>
      </c>
      <c r="C412" s="7" t="s">
        <v>1060</v>
      </c>
      <c r="D412" s="20">
        <v>94680</v>
      </c>
      <c r="E412" s="22">
        <v>0.2054</v>
      </c>
      <c r="F412" s="22">
        <v>0.113</v>
      </c>
      <c r="G412" s="23">
        <v>4.2</v>
      </c>
      <c r="H412" s="24">
        <v>196</v>
      </c>
      <c r="I412" s="25">
        <v>395.8</v>
      </c>
      <c r="J412" s="24">
        <v>10696</v>
      </c>
    </row>
    <row r="413" spans="1:10" ht="15" customHeight="1">
      <c r="A413" s="6" t="s">
        <v>1107</v>
      </c>
      <c r="B413" s="7" t="s">
        <v>1108</v>
      </c>
      <c r="C413" s="7" t="s">
        <v>1060</v>
      </c>
      <c r="D413" s="20">
        <v>94680</v>
      </c>
      <c r="E413" s="22">
        <v>0.22969999999999999</v>
      </c>
      <c r="F413" s="22">
        <v>0.1263</v>
      </c>
      <c r="G413" s="23">
        <v>4.7</v>
      </c>
      <c r="H413" s="24">
        <v>220</v>
      </c>
      <c r="I413" s="25">
        <v>442.6</v>
      </c>
      <c r="J413" s="24">
        <v>11961</v>
      </c>
    </row>
    <row r="414" spans="1:10" ht="15" customHeight="1">
      <c r="A414" s="1" t="s">
        <v>1116</v>
      </c>
      <c r="D414" s="26">
        <f>SUM(D2:D413)</f>
        <v>34250030</v>
      </c>
      <c r="E414" s="27">
        <f>SUMPRODUCT(D2:D413,E2:E413)/SUM(D2:D413)</f>
        <v>0.55930494118691332</v>
      </c>
      <c r="F414" s="28">
        <f>SUMPRODUCT(D2:D413,F2:F413)/SUM(D2:D413)</f>
        <v>0.29502847241593655</v>
      </c>
      <c r="G414" s="29">
        <f>SUMPRODUCT(D2:D413,G2:G413)/SUM(D2:D413)</f>
        <v>10.917282927927362</v>
      </c>
      <c r="H414" s="26">
        <f>G414*47</f>
        <v>513.11229761258596</v>
      </c>
      <c r="I414" s="30">
        <f>SUM(I2:I413)</f>
        <v>373870.3999999995</v>
      </c>
      <c r="J414" s="26">
        <f>SUM(J2:J413)</f>
        <v>10104614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J431"/>
  <sheetViews>
    <sheetView zoomScaleNormal="100" workbookViewId="0"/>
  </sheetViews>
  <sheetFormatPr defaultColWidth="8.7109375" defaultRowHeight="14.25"/>
  <cols>
    <col min="1" max="1" width="6" customWidth="1"/>
    <col min="2" max="2" width="10" customWidth="1"/>
    <col min="3" max="3" width="52" customWidth="1"/>
    <col min="4" max="4" width="22" customWidth="1"/>
    <col min="5" max="6" width="16" customWidth="1"/>
    <col min="7" max="7" width="18" customWidth="1"/>
    <col min="8" max="8" width="22" customWidth="1"/>
    <col min="9" max="9" width="20" customWidth="1"/>
    <col min="10" max="10" width="14" customWidth="1"/>
  </cols>
  <sheetData>
    <row r="1" spans="1:8" ht="17.45" customHeight="1">
      <c r="A1" s="84" t="s">
        <v>1117</v>
      </c>
      <c r="B1" s="85"/>
      <c r="C1" s="85"/>
      <c r="D1" s="85"/>
      <c r="E1" s="85"/>
      <c r="F1" s="85"/>
      <c r="G1" s="85"/>
      <c r="H1" s="85"/>
    </row>
    <row r="2" spans="1:8" ht="15" customHeight="1">
      <c r="A2" s="89" t="s">
        <v>1118</v>
      </c>
      <c r="B2" s="85"/>
      <c r="C2" s="85"/>
      <c r="D2" s="85"/>
      <c r="E2" s="85"/>
      <c r="F2" s="85"/>
      <c r="G2" s="85"/>
      <c r="H2" s="85"/>
    </row>
    <row r="4" spans="1:8" ht="15" customHeight="1">
      <c r="A4" s="2" t="s">
        <v>1119</v>
      </c>
    </row>
    <row r="5" spans="1:8" ht="15" customHeight="1">
      <c r="A5" s="13" t="s">
        <v>1120</v>
      </c>
      <c r="C5" s="31">
        <f>412</f>
        <v>412</v>
      </c>
    </row>
    <row r="6" spans="1:8" ht="15" customHeight="1">
      <c r="A6" s="13" t="s">
        <v>1121</v>
      </c>
      <c r="C6" s="31">
        <f>Calculation!D414</f>
        <v>34250030</v>
      </c>
    </row>
    <row r="7" spans="1:8" ht="15" customHeight="1">
      <c r="A7" s="13" t="s">
        <v>1122</v>
      </c>
      <c r="B7" t="s">
        <v>1123</v>
      </c>
      <c r="C7" s="32">
        <f>'Task Categories'!C21</f>
        <v>0.6</v>
      </c>
    </row>
    <row r="8" spans="1:8" ht="15" customHeight="1">
      <c r="A8" s="13" t="s">
        <v>1124</v>
      </c>
      <c r="C8" s="33">
        <f>'Task Categories'!C22</f>
        <v>37</v>
      </c>
    </row>
    <row r="10" spans="1:8" ht="15" customHeight="1">
      <c r="A10" s="2" t="s">
        <v>1125</v>
      </c>
    </row>
    <row r="11" spans="1:8" ht="15" customHeight="1">
      <c r="A11" s="13" t="s">
        <v>1126</v>
      </c>
      <c r="B11">
        <v>0.55930000000000002</v>
      </c>
      <c r="C11" s="34">
        <f>Calculation!E414</f>
        <v>0.55930494118691332</v>
      </c>
    </row>
    <row r="12" spans="1:8" ht="15" customHeight="1">
      <c r="A12" s="13" t="s">
        <v>1127</v>
      </c>
      <c r="B12">
        <v>0.29499999999999998</v>
      </c>
      <c r="C12" s="35">
        <f>Calculation!F414</f>
        <v>0.29502847241593655</v>
      </c>
    </row>
    <row r="13" spans="1:8" ht="15" customHeight="1">
      <c r="A13" s="13" t="s">
        <v>1128</v>
      </c>
      <c r="B13">
        <v>10.9</v>
      </c>
      <c r="C13" s="36">
        <f>Calculation!G414</f>
        <v>10.917282927927362</v>
      </c>
    </row>
    <row r="14" spans="1:8" ht="15" customHeight="1">
      <c r="A14" s="13" t="s">
        <v>1129</v>
      </c>
      <c r="B14">
        <v>513</v>
      </c>
      <c r="C14" s="37">
        <f>Calculation!H414</f>
        <v>513.11229761258596</v>
      </c>
    </row>
    <row r="15" spans="1:8" ht="15" customHeight="1">
      <c r="A15" s="13" t="s">
        <v>1130</v>
      </c>
      <c r="C15" s="38">
        <f>Calculation!I414</f>
        <v>373870.3999999995</v>
      </c>
    </row>
    <row r="16" spans="1:8" ht="15" customHeight="1">
      <c r="A16" s="13" t="s">
        <v>1131</v>
      </c>
      <c r="C16" s="37">
        <f>Calculation!J414</f>
        <v>10104614</v>
      </c>
    </row>
    <row r="19" spans="1:10" ht="26.85" customHeight="1">
      <c r="A19" s="5" t="s">
        <v>1132</v>
      </c>
      <c r="B19" s="5" t="s">
        <v>240</v>
      </c>
      <c r="C19" s="5" t="s">
        <v>241</v>
      </c>
      <c r="D19" s="5" t="s">
        <v>242</v>
      </c>
      <c r="E19" s="5" t="s">
        <v>1109</v>
      </c>
      <c r="F19" s="5" t="s">
        <v>1133</v>
      </c>
      <c r="G19" s="5" t="s">
        <v>1134</v>
      </c>
      <c r="H19" s="5" t="s">
        <v>1135</v>
      </c>
      <c r="I19" s="5" t="s">
        <v>1136</v>
      </c>
      <c r="J19" s="5" t="s">
        <v>1137</v>
      </c>
    </row>
    <row r="20" spans="1:10" ht="15" customHeight="1">
      <c r="A20" s="7">
        <v>1</v>
      </c>
      <c r="B20" s="6" t="s">
        <v>262</v>
      </c>
      <c r="C20" s="7" t="s">
        <v>263</v>
      </c>
      <c r="D20" s="7" t="s">
        <v>264</v>
      </c>
      <c r="E20" s="39">
        <f>Calculation!D2</f>
        <v>167737</v>
      </c>
      <c r="F20" s="21">
        <f>Calculation!E2</f>
        <v>0.64859999999999995</v>
      </c>
      <c r="G20" s="22">
        <f>Calculation!F2</f>
        <v>0.32429999999999998</v>
      </c>
      <c r="H20" s="23">
        <f>Calculation!G2</f>
        <v>12</v>
      </c>
      <c r="I20" s="24">
        <f>Calculation!J2</f>
        <v>54397</v>
      </c>
      <c r="J20" s="6" t="str">
        <f t="shared" ref="J20:J83" si="0">IF(G20&gt;=35%,"Transformative",IF(G20&gt;=25%,"High",IF(G20&gt;=15%,"Moderate","Low")))</f>
        <v>High</v>
      </c>
    </row>
    <row r="21" spans="1:10" ht="15" customHeight="1">
      <c r="A21" s="7">
        <v>2</v>
      </c>
      <c r="B21" s="6" t="s">
        <v>265</v>
      </c>
      <c r="C21" s="7" t="s">
        <v>266</v>
      </c>
      <c r="D21" s="7" t="s">
        <v>264</v>
      </c>
      <c r="E21" s="39">
        <f>Calculation!D3</f>
        <v>167737</v>
      </c>
      <c r="F21" s="21">
        <f>Calculation!E3</f>
        <v>0.65339999999999998</v>
      </c>
      <c r="G21" s="22">
        <f>Calculation!F3</f>
        <v>0.32669999999999999</v>
      </c>
      <c r="H21" s="23">
        <f>Calculation!G3</f>
        <v>12.1</v>
      </c>
      <c r="I21" s="24">
        <f>Calculation!J3</f>
        <v>54800</v>
      </c>
      <c r="J21" s="6" t="str">
        <f t="shared" si="0"/>
        <v>High</v>
      </c>
    </row>
    <row r="22" spans="1:10" ht="15" customHeight="1">
      <c r="A22" s="7">
        <v>3</v>
      </c>
      <c r="B22" s="6" t="s">
        <v>267</v>
      </c>
      <c r="C22" s="7" t="s">
        <v>268</v>
      </c>
      <c r="D22" s="7" t="s">
        <v>264</v>
      </c>
      <c r="E22" s="39">
        <f>Calculation!D4</f>
        <v>167737</v>
      </c>
      <c r="F22" s="21">
        <f>Calculation!E4</f>
        <v>0.58950000000000002</v>
      </c>
      <c r="G22" s="22">
        <f>Calculation!F4</f>
        <v>0.29480000000000001</v>
      </c>
      <c r="H22" s="23">
        <f>Calculation!G4</f>
        <v>10.9</v>
      </c>
      <c r="I22" s="24">
        <f>Calculation!J4</f>
        <v>49440</v>
      </c>
      <c r="J22" s="6" t="str">
        <f t="shared" si="0"/>
        <v>High</v>
      </c>
    </row>
    <row r="23" spans="1:10" ht="15" customHeight="1">
      <c r="A23" s="7">
        <v>4</v>
      </c>
      <c r="B23" s="6" t="s">
        <v>269</v>
      </c>
      <c r="C23" s="7" t="s">
        <v>270</v>
      </c>
      <c r="D23" s="7" t="s">
        <v>264</v>
      </c>
      <c r="E23" s="39">
        <f>Calculation!D5</f>
        <v>167737</v>
      </c>
      <c r="F23" s="21">
        <f>Calculation!E5</f>
        <v>0.59919999999999995</v>
      </c>
      <c r="G23" s="22">
        <f>Calculation!F5</f>
        <v>0.29959999999999998</v>
      </c>
      <c r="H23" s="23">
        <f>Calculation!G5</f>
        <v>11.1</v>
      </c>
      <c r="I23" s="24">
        <f>Calculation!J5</f>
        <v>50254</v>
      </c>
      <c r="J23" s="6" t="str">
        <f t="shared" si="0"/>
        <v>High</v>
      </c>
    </row>
    <row r="24" spans="1:10" ht="15" customHeight="1">
      <c r="A24" s="7">
        <v>5</v>
      </c>
      <c r="B24" s="6" t="s">
        <v>271</v>
      </c>
      <c r="C24" s="7" t="s">
        <v>272</v>
      </c>
      <c r="D24" s="7" t="s">
        <v>264</v>
      </c>
      <c r="E24" s="39">
        <f>Calculation!D6</f>
        <v>167737</v>
      </c>
      <c r="F24" s="21">
        <f>Calculation!E6</f>
        <v>0.57809999999999995</v>
      </c>
      <c r="G24" s="22">
        <f>Calculation!F6</f>
        <v>0.28910000000000002</v>
      </c>
      <c r="H24" s="23">
        <f>Calculation!G6</f>
        <v>10.7</v>
      </c>
      <c r="I24" s="24">
        <f>Calculation!J6</f>
        <v>48484</v>
      </c>
      <c r="J24" s="6" t="str">
        <f t="shared" si="0"/>
        <v>High</v>
      </c>
    </row>
    <row r="25" spans="1:10" ht="15" customHeight="1">
      <c r="A25" s="7">
        <v>6</v>
      </c>
      <c r="B25" s="6" t="s">
        <v>273</v>
      </c>
      <c r="C25" s="7" t="s">
        <v>274</v>
      </c>
      <c r="D25" s="7" t="s">
        <v>264</v>
      </c>
      <c r="E25" s="39">
        <f>Calculation!D7</f>
        <v>167737</v>
      </c>
      <c r="F25" s="21">
        <f>Calculation!E7</f>
        <v>0.67230000000000001</v>
      </c>
      <c r="G25" s="22">
        <f>Calculation!F7</f>
        <v>0.3362</v>
      </c>
      <c r="H25" s="23">
        <f>Calculation!G7</f>
        <v>12.4</v>
      </c>
      <c r="I25" s="24">
        <f>Calculation!J7</f>
        <v>56385</v>
      </c>
      <c r="J25" s="6" t="str">
        <f t="shared" si="0"/>
        <v>High</v>
      </c>
    </row>
    <row r="26" spans="1:10" ht="15" customHeight="1">
      <c r="A26" s="7">
        <v>7</v>
      </c>
      <c r="B26" s="6" t="s">
        <v>275</v>
      </c>
      <c r="C26" s="7" t="s">
        <v>276</v>
      </c>
      <c r="D26" s="7" t="s">
        <v>264</v>
      </c>
      <c r="E26" s="39">
        <f>Calculation!D8</f>
        <v>167737</v>
      </c>
      <c r="F26" s="21">
        <f>Calculation!E8</f>
        <v>0.68869999999999998</v>
      </c>
      <c r="G26" s="22">
        <f>Calculation!F8</f>
        <v>0.34439999999999998</v>
      </c>
      <c r="H26" s="23">
        <f>Calculation!G8</f>
        <v>12.7</v>
      </c>
      <c r="I26" s="24">
        <f>Calculation!J8</f>
        <v>57760</v>
      </c>
      <c r="J26" s="6" t="str">
        <f t="shared" si="0"/>
        <v>High</v>
      </c>
    </row>
    <row r="27" spans="1:10" ht="15" customHeight="1">
      <c r="A27" s="7">
        <v>8</v>
      </c>
      <c r="B27" s="6" t="s">
        <v>277</v>
      </c>
      <c r="C27" s="7" t="s">
        <v>278</v>
      </c>
      <c r="D27" s="7" t="s">
        <v>264</v>
      </c>
      <c r="E27" s="39">
        <f>Calculation!D9</f>
        <v>167737</v>
      </c>
      <c r="F27" s="21">
        <f>Calculation!E9</f>
        <v>0.64400000000000002</v>
      </c>
      <c r="G27" s="22">
        <f>Calculation!F9</f>
        <v>0.32200000000000001</v>
      </c>
      <c r="H27" s="23">
        <f>Calculation!G9</f>
        <v>11.9</v>
      </c>
      <c r="I27" s="24">
        <f>Calculation!J9</f>
        <v>54011</v>
      </c>
      <c r="J27" s="6" t="str">
        <f t="shared" si="0"/>
        <v>High</v>
      </c>
    </row>
    <row r="28" spans="1:10" ht="15" customHeight="1">
      <c r="A28" s="7">
        <v>9</v>
      </c>
      <c r="B28" s="6" t="s">
        <v>279</v>
      </c>
      <c r="C28" s="7" t="s">
        <v>280</v>
      </c>
      <c r="D28" s="7" t="s">
        <v>264</v>
      </c>
      <c r="E28" s="39">
        <f>Calculation!D10</f>
        <v>167737</v>
      </c>
      <c r="F28" s="21">
        <f>Calculation!E10</f>
        <v>0.65259999999999996</v>
      </c>
      <c r="G28" s="22">
        <f>Calculation!F10</f>
        <v>0.32629999999999998</v>
      </c>
      <c r="H28" s="23">
        <f>Calculation!G10</f>
        <v>12.1</v>
      </c>
      <c r="I28" s="24">
        <f>Calculation!J10</f>
        <v>54733</v>
      </c>
      <c r="J28" s="6" t="str">
        <f t="shared" si="0"/>
        <v>High</v>
      </c>
    </row>
    <row r="29" spans="1:10" ht="15" customHeight="1">
      <c r="A29" s="7">
        <v>10</v>
      </c>
      <c r="B29" s="6" t="s">
        <v>281</v>
      </c>
      <c r="C29" s="7" t="s">
        <v>282</v>
      </c>
      <c r="D29" s="7" t="s">
        <v>264</v>
      </c>
      <c r="E29" s="39">
        <f>Calculation!D11</f>
        <v>167737</v>
      </c>
      <c r="F29" s="21">
        <f>Calculation!E11</f>
        <v>0.64929999999999999</v>
      </c>
      <c r="G29" s="22">
        <f>Calculation!F11</f>
        <v>0.3246</v>
      </c>
      <c r="H29" s="23">
        <f>Calculation!G11</f>
        <v>12</v>
      </c>
      <c r="I29" s="24">
        <f>Calculation!J11</f>
        <v>54456</v>
      </c>
      <c r="J29" s="6" t="str">
        <f t="shared" si="0"/>
        <v>High</v>
      </c>
    </row>
    <row r="30" spans="1:10" ht="15" customHeight="1">
      <c r="A30" s="7">
        <v>11</v>
      </c>
      <c r="B30" s="6" t="s">
        <v>283</v>
      </c>
      <c r="C30" s="7" t="s">
        <v>284</v>
      </c>
      <c r="D30" s="7" t="s">
        <v>264</v>
      </c>
      <c r="E30" s="39">
        <f>Calculation!D12</f>
        <v>167737</v>
      </c>
      <c r="F30" s="21">
        <f>Calculation!E12</f>
        <v>0.73</v>
      </c>
      <c r="G30" s="22">
        <f>Calculation!F12</f>
        <v>0.36499999999999999</v>
      </c>
      <c r="H30" s="23">
        <f>Calculation!G12</f>
        <v>13.5</v>
      </c>
      <c r="I30" s="24">
        <f>Calculation!J12</f>
        <v>61224</v>
      </c>
      <c r="J30" s="6" t="str">
        <f t="shared" si="0"/>
        <v>Transformative</v>
      </c>
    </row>
    <row r="31" spans="1:10" ht="15" customHeight="1">
      <c r="A31" s="7">
        <v>12</v>
      </c>
      <c r="B31" s="6" t="s">
        <v>285</v>
      </c>
      <c r="C31" s="7" t="s">
        <v>286</v>
      </c>
      <c r="D31" s="7" t="s">
        <v>264</v>
      </c>
      <c r="E31" s="39">
        <f>Calculation!D13</f>
        <v>167737</v>
      </c>
      <c r="F31" s="21">
        <f>Calculation!E13</f>
        <v>0.68369999999999997</v>
      </c>
      <c r="G31" s="22">
        <f>Calculation!F13</f>
        <v>0.34189999999999998</v>
      </c>
      <c r="H31" s="23">
        <f>Calculation!G13</f>
        <v>12.6</v>
      </c>
      <c r="I31" s="24">
        <f>Calculation!J13</f>
        <v>57341</v>
      </c>
      <c r="J31" s="6" t="str">
        <f t="shared" si="0"/>
        <v>High</v>
      </c>
    </row>
    <row r="32" spans="1:10" ht="15" customHeight="1">
      <c r="A32" s="7">
        <v>13</v>
      </c>
      <c r="B32" s="6" t="s">
        <v>287</v>
      </c>
      <c r="C32" s="7" t="s">
        <v>288</v>
      </c>
      <c r="D32" s="7" t="s">
        <v>264</v>
      </c>
      <c r="E32" s="39">
        <f>Calculation!D14</f>
        <v>167737</v>
      </c>
      <c r="F32" s="21">
        <f>Calculation!E14</f>
        <v>0.63190000000000002</v>
      </c>
      <c r="G32" s="22">
        <f>Calculation!F14</f>
        <v>0.316</v>
      </c>
      <c r="H32" s="23">
        <f>Calculation!G14</f>
        <v>11.7</v>
      </c>
      <c r="I32" s="24">
        <f>Calculation!J14</f>
        <v>52997</v>
      </c>
      <c r="J32" s="6" t="str">
        <f t="shared" si="0"/>
        <v>High</v>
      </c>
    </row>
    <row r="33" spans="1:10" ht="15" customHeight="1">
      <c r="A33" s="7">
        <v>14</v>
      </c>
      <c r="B33" s="6" t="s">
        <v>289</v>
      </c>
      <c r="C33" s="7" t="s">
        <v>290</v>
      </c>
      <c r="D33" s="7" t="s">
        <v>264</v>
      </c>
      <c r="E33" s="39">
        <f>Calculation!D15</f>
        <v>167737</v>
      </c>
      <c r="F33" s="21">
        <f>Calculation!E15</f>
        <v>0.63849999999999996</v>
      </c>
      <c r="G33" s="22">
        <f>Calculation!F15</f>
        <v>0.31929999999999997</v>
      </c>
      <c r="H33" s="23">
        <f>Calculation!G15</f>
        <v>11.8</v>
      </c>
      <c r="I33" s="24">
        <f>Calculation!J15</f>
        <v>53550</v>
      </c>
      <c r="J33" s="6" t="str">
        <f t="shared" si="0"/>
        <v>High</v>
      </c>
    </row>
    <row r="34" spans="1:10" ht="15" customHeight="1">
      <c r="A34" s="7">
        <v>15</v>
      </c>
      <c r="B34" s="6" t="s">
        <v>291</v>
      </c>
      <c r="C34" s="7" t="s">
        <v>292</v>
      </c>
      <c r="D34" s="7" t="s">
        <v>264</v>
      </c>
      <c r="E34" s="39">
        <f>Calculation!D16</f>
        <v>167737</v>
      </c>
      <c r="F34" s="21">
        <f>Calculation!E16</f>
        <v>0.58899999999999997</v>
      </c>
      <c r="G34" s="22">
        <f>Calculation!F16</f>
        <v>0.29449999999999998</v>
      </c>
      <c r="H34" s="23">
        <f>Calculation!G16</f>
        <v>10.9</v>
      </c>
      <c r="I34" s="24">
        <f>Calculation!J16</f>
        <v>49399</v>
      </c>
      <c r="J34" s="6" t="str">
        <f t="shared" si="0"/>
        <v>High</v>
      </c>
    </row>
    <row r="35" spans="1:10" ht="15" customHeight="1">
      <c r="A35" s="7">
        <v>16</v>
      </c>
      <c r="B35" s="6" t="s">
        <v>293</v>
      </c>
      <c r="C35" s="7" t="s">
        <v>294</v>
      </c>
      <c r="D35" s="7" t="s">
        <v>264</v>
      </c>
      <c r="E35" s="39">
        <f>Calculation!D17</f>
        <v>167737</v>
      </c>
      <c r="F35" s="21">
        <f>Calculation!E17</f>
        <v>0.57440000000000002</v>
      </c>
      <c r="G35" s="22">
        <f>Calculation!F17</f>
        <v>0.28720000000000001</v>
      </c>
      <c r="H35" s="23">
        <f>Calculation!G17</f>
        <v>10.6</v>
      </c>
      <c r="I35" s="24">
        <f>Calculation!J17</f>
        <v>48174</v>
      </c>
      <c r="J35" s="6" t="str">
        <f t="shared" si="0"/>
        <v>High</v>
      </c>
    </row>
    <row r="36" spans="1:10" ht="15" customHeight="1">
      <c r="A36" s="7">
        <v>17</v>
      </c>
      <c r="B36" s="6" t="s">
        <v>295</v>
      </c>
      <c r="C36" s="7" t="s">
        <v>296</v>
      </c>
      <c r="D36" s="7" t="s">
        <v>264</v>
      </c>
      <c r="E36" s="39">
        <f>Calculation!D18</f>
        <v>167737</v>
      </c>
      <c r="F36" s="21">
        <f>Calculation!E18</f>
        <v>0.59350000000000003</v>
      </c>
      <c r="G36" s="22">
        <f>Calculation!F18</f>
        <v>0.29680000000000001</v>
      </c>
      <c r="H36" s="23">
        <f>Calculation!G18</f>
        <v>11</v>
      </c>
      <c r="I36" s="24">
        <f>Calculation!J18</f>
        <v>49776</v>
      </c>
      <c r="J36" s="6" t="str">
        <f t="shared" si="0"/>
        <v>High</v>
      </c>
    </row>
    <row r="37" spans="1:10" ht="15" customHeight="1">
      <c r="A37" s="7">
        <v>18</v>
      </c>
      <c r="B37" s="6" t="s">
        <v>297</v>
      </c>
      <c r="C37" s="7" t="s">
        <v>298</v>
      </c>
      <c r="D37" s="7" t="s">
        <v>264</v>
      </c>
      <c r="E37" s="39">
        <f>Calculation!D19</f>
        <v>167737</v>
      </c>
      <c r="F37" s="21">
        <f>Calculation!E19</f>
        <v>0.58209999999999995</v>
      </c>
      <c r="G37" s="22">
        <f>Calculation!F19</f>
        <v>0.29110000000000003</v>
      </c>
      <c r="H37" s="23">
        <f>Calculation!G19</f>
        <v>10.8</v>
      </c>
      <c r="I37" s="24">
        <f>Calculation!J19</f>
        <v>48820</v>
      </c>
      <c r="J37" s="6" t="str">
        <f t="shared" si="0"/>
        <v>High</v>
      </c>
    </row>
    <row r="38" spans="1:10" ht="15" customHeight="1">
      <c r="A38" s="7">
        <v>19</v>
      </c>
      <c r="B38" s="6" t="s">
        <v>299</v>
      </c>
      <c r="C38" s="7" t="s">
        <v>300</v>
      </c>
      <c r="D38" s="7" t="s">
        <v>264</v>
      </c>
      <c r="E38" s="39">
        <f>Calculation!D20</f>
        <v>167737</v>
      </c>
      <c r="F38" s="21">
        <f>Calculation!E20</f>
        <v>0.5877</v>
      </c>
      <c r="G38" s="22">
        <f>Calculation!F20</f>
        <v>0.29389999999999999</v>
      </c>
      <c r="H38" s="23">
        <f>Calculation!G20</f>
        <v>10.9</v>
      </c>
      <c r="I38" s="24">
        <f>Calculation!J20</f>
        <v>49290</v>
      </c>
      <c r="J38" s="6" t="str">
        <f t="shared" si="0"/>
        <v>High</v>
      </c>
    </row>
    <row r="39" spans="1:10" ht="15" customHeight="1">
      <c r="A39" s="7">
        <v>20</v>
      </c>
      <c r="B39" s="6" t="s">
        <v>301</v>
      </c>
      <c r="C39" s="7" t="s">
        <v>302</v>
      </c>
      <c r="D39" s="7" t="s">
        <v>303</v>
      </c>
      <c r="E39" s="39">
        <f>Calculation!D21</f>
        <v>92773</v>
      </c>
      <c r="F39" s="21">
        <f>Calculation!E21</f>
        <v>0.50139999999999996</v>
      </c>
      <c r="G39" s="22">
        <f>Calculation!F21</f>
        <v>0.27579999999999999</v>
      </c>
      <c r="H39" s="23">
        <f>Calculation!G21</f>
        <v>10.199999999999999</v>
      </c>
      <c r="I39" s="24">
        <f>Calculation!J21</f>
        <v>25584</v>
      </c>
      <c r="J39" s="6" t="str">
        <f t="shared" si="0"/>
        <v>High</v>
      </c>
    </row>
    <row r="40" spans="1:10" ht="15" customHeight="1">
      <c r="A40" s="7">
        <v>21</v>
      </c>
      <c r="B40" s="6" t="s">
        <v>304</v>
      </c>
      <c r="C40" s="7" t="s">
        <v>305</v>
      </c>
      <c r="D40" s="7" t="s">
        <v>303</v>
      </c>
      <c r="E40" s="39">
        <f>Calculation!D22</f>
        <v>92773</v>
      </c>
      <c r="F40" s="21">
        <f>Calculation!E22</f>
        <v>0.50139999999999996</v>
      </c>
      <c r="G40" s="22">
        <f>Calculation!F22</f>
        <v>0.27579999999999999</v>
      </c>
      <c r="H40" s="23">
        <f>Calculation!G22</f>
        <v>10.199999999999999</v>
      </c>
      <c r="I40" s="24">
        <f>Calculation!J22</f>
        <v>25584</v>
      </c>
      <c r="J40" s="6" t="str">
        <f t="shared" si="0"/>
        <v>High</v>
      </c>
    </row>
    <row r="41" spans="1:10" ht="15" customHeight="1">
      <c r="A41" s="7">
        <v>22</v>
      </c>
      <c r="B41" s="6" t="s">
        <v>306</v>
      </c>
      <c r="C41" s="7" t="s">
        <v>307</v>
      </c>
      <c r="D41" s="7" t="s">
        <v>303</v>
      </c>
      <c r="E41" s="39">
        <f>Calculation!D23</f>
        <v>92773</v>
      </c>
      <c r="F41" s="21">
        <f>Calculation!E23</f>
        <v>0.6099</v>
      </c>
      <c r="G41" s="22">
        <f>Calculation!F23</f>
        <v>0.33539999999999998</v>
      </c>
      <c r="H41" s="23">
        <f>Calculation!G23</f>
        <v>12.4</v>
      </c>
      <c r="I41" s="24">
        <f>Calculation!J23</f>
        <v>31120</v>
      </c>
      <c r="J41" s="6" t="str">
        <f t="shared" si="0"/>
        <v>High</v>
      </c>
    </row>
    <row r="42" spans="1:10" ht="15" customHeight="1">
      <c r="A42" s="7">
        <v>23</v>
      </c>
      <c r="B42" s="6" t="s">
        <v>308</v>
      </c>
      <c r="C42" s="7" t="s">
        <v>309</v>
      </c>
      <c r="D42" s="7" t="s">
        <v>303</v>
      </c>
      <c r="E42" s="39">
        <f>Calculation!D24</f>
        <v>92773</v>
      </c>
      <c r="F42" s="21">
        <f>Calculation!E24</f>
        <v>0.57730000000000004</v>
      </c>
      <c r="G42" s="22">
        <f>Calculation!F24</f>
        <v>0.3175</v>
      </c>
      <c r="H42" s="23">
        <f>Calculation!G24</f>
        <v>11.7</v>
      </c>
      <c r="I42" s="24">
        <f>Calculation!J24</f>
        <v>29457</v>
      </c>
      <c r="J42" s="6" t="str">
        <f t="shared" si="0"/>
        <v>High</v>
      </c>
    </row>
    <row r="43" spans="1:10" ht="15" customHeight="1">
      <c r="A43" s="7">
        <v>24</v>
      </c>
      <c r="B43" s="6" t="s">
        <v>310</v>
      </c>
      <c r="C43" s="7" t="s">
        <v>311</v>
      </c>
      <c r="D43" s="7" t="s">
        <v>303</v>
      </c>
      <c r="E43" s="39">
        <f>Calculation!D25</f>
        <v>92773</v>
      </c>
      <c r="F43" s="21">
        <f>Calculation!E25</f>
        <v>0.57730000000000004</v>
      </c>
      <c r="G43" s="22">
        <f>Calculation!F25</f>
        <v>0.3175</v>
      </c>
      <c r="H43" s="23">
        <f>Calculation!G25</f>
        <v>11.7</v>
      </c>
      <c r="I43" s="24">
        <f>Calculation!J25</f>
        <v>29457</v>
      </c>
      <c r="J43" s="6" t="str">
        <f t="shared" si="0"/>
        <v>High</v>
      </c>
    </row>
    <row r="44" spans="1:10" ht="15" customHeight="1">
      <c r="A44" s="7">
        <v>25</v>
      </c>
      <c r="B44" s="6" t="s">
        <v>312</v>
      </c>
      <c r="C44" s="7" t="s">
        <v>313</v>
      </c>
      <c r="D44" s="7" t="s">
        <v>303</v>
      </c>
      <c r="E44" s="39">
        <f>Calculation!D26</f>
        <v>92773</v>
      </c>
      <c r="F44" s="21">
        <f>Calculation!E26</f>
        <v>0.61060000000000003</v>
      </c>
      <c r="G44" s="22">
        <f>Calculation!F26</f>
        <v>0.33579999999999999</v>
      </c>
      <c r="H44" s="23">
        <f>Calculation!G26</f>
        <v>12.4</v>
      </c>
      <c r="I44" s="24">
        <f>Calculation!J26</f>
        <v>31156</v>
      </c>
      <c r="J44" s="6" t="str">
        <f t="shared" si="0"/>
        <v>High</v>
      </c>
    </row>
    <row r="45" spans="1:10" ht="15" customHeight="1">
      <c r="A45" s="7">
        <v>26</v>
      </c>
      <c r="B45" s="6" t="s">
        <v>314</v>
      </c>
      <c r="C45" s="7" t="s">
        <v>315</v>
      </c>
      <c r="D45" s="7" t="s">
        <v>303</v>
      </c>
      <c r="E45" s="39">
        <f>Calculation!D27</f>
        <v>92773</v>
      </c>
      <c r="F45" s="21">
        <f>Calculation!E27</f>
        <v>0.68520000000000003</v>
      </c>
      <c r="G45" s="22">
        <f>Calculation!F27</f>
        <v>0.37690000000000001</v>
      </c>
      <c r="H45" s="23">
        <f>Calculation!G27</f>
        <v>13.9</v>
      </c>
      <c r="I45" s="24">
        <f>Calculation!J27</f>
        <v>34962</v>
      </c>
      <c r="J45" s="6" t="str">
        <f t="shared" si="0"/>
        <v>Transformative</v>
      </c>
    </row>
    <row r="46" spans="1:10" ht="15" customHeight="1">
      <c r="A46" s="7">
        <v>27</v>
      </c>
      <c r="B46" s="6" t="s">
        <v>316</v>
      </c>
      <c r="C46" s="7" t="s">
        <v>317</v>
      </c>
      <c r="D46" s="7" t="s">
        <v>303</v>
      </c>
      <c r="E46" s="39">
        <f>Calculation!D28</f>
        <v>92773</v>
      </c>
      <c r="F46" s="21">
        <f>Calculation!E28</f>
        <v>0.62690000000000001</v>
      </c>
      <c r="G46" s="22">
        <f>Calculation!F28</f>
        <v>0.3448</v>
      </c>
      <c r="H46" s="23">
        <f>Calculation!G28</f>
        <v>12.8</v>
      </c>
      <c r="I46" s="24">
        <f>Calculation!J28</f>
        <v>31988</v>
      </c>
      <c r="J46" s="6" t="str">
        <f t="shared" si="0"/>
        <v>High</v>
      </c>
    </row>
    <row r="47" spans="1:10" ht="15" customHeight="1">
      <c r="A47" s="7">
        <v>28</v>
      </c>
      <c r="B47" s="6" t="s">
        <v>318</v>
      </c>
      <c r="C47" s="7" t="s">
        <v>319</v>
      </c>
      <c r="D47" s="7" t="s">
        <v>303</v>
      </c>
      <c r="E47" s="39">
        <f>Calculation!D29</f>
        <v>92773</v>
      </c>
      <c r="F47" s="21">
        <f>Calculation!E29</f>
        <v>0.58879999999999999</v>
      </c>
      <c r="G47" s="22">
        <f>Calculation!F29</f>
        <v>0.32379999999999998</v>
      </c>
      <c r="H47" s="23">
        <f>Calculation!G29</f>
        <v>12</v>
      </c>
      <c r="I47" s="24">
        <f>Calculation!J29</f>
        <v>30044</v>
      </c>
      <c r="J47" s="6" t="str">
        <f t="shared" si="0"/>
        <v>High</v>
      </c>
    </row>
    <row r="48" spans="1:10" ht="15" customHeight="1">
      <c r="A48" s="7">
        <v>29</v>
      </c>
      <c r="B48" s="6" t="s">
        <v>320</v>
      </c>
      <c r="C48" s="7" t="s">
        <v>321</v>
      </c>
      <c r="D48" s="7" t="s">
        <v>303</v>
      </c>
      <c r="E48" s="39">
        <f>Calculation!D30</f>
        <v>92773</v>
      </c>
      <c r="F48" s="21">
        <f>Calculation!E30</f>
        <v>0.59960000000000002</v>
      </c>
      <c r="G48" s="22">
        <f>Calculation!F30</f>
        <v>0.32979999999999998</v>
      </c>
      <c r="H48" s="23">
        <f>Calculation!G30</f>
        <v>12.2</v>
      </c>
      <c r="I48" s="24">
        <f>Calculation!J30</f>
        <v>30595</v>
      </c>
      <c r="J48" s="6" t="str">
        <f t="shared" si="0"/>
        <v>High</v>
      </c>
    </row>
    <row r="49" spans="1:10" ht="15" customHeight="1">
      <c r="A49" s="7">
        <v>30</v>
      </c>
      <c r="B49" s="6" t="s">
        <v>322</v>
      </c>
      <c r="C49" s="7" t="s">
        <v>323</v>
      </c>
      <c r="D49" s="7" t="s">
        <v>303</v>
      </c>
      <c r="E49" s="39">
        <f>Calculation!D31</f>
        <v>92773</v>
      </c>
      <c r="F49" s="21">
        <f>Calculation!E31</f>
        <v>0.5948</v>
      </c>
      <c r="G49" s="22">
        <f>Calculation!F31</f>
        <v>0.3271</v>
      </c>
      <c r="H49" s="23">
        <f>Calculation!G31</f>
        <v>12.1</v>
      </c>
      <c r="I49" s="24">
        <f>Calculation!J31</f>
        <v>30350</v>
      </c>
      <c r="J49" s="6" t="str">
        <f t="shared" si="0"/>
        <v>High</v>
      </c>
    </row>
    <row r="50" spans="1:10" ht="15" customHeight="1">
      <c r="A50" s="7">
        <v>31</v>
      </c>
      <c r="B50" s="6" t="s">
        <v>324</v>
      </c>
      <c r="C50" s="7" t="s">
        <v>325</v>
      </c>
      <c r="D50" s="7" t="s">
        <v>303</v>
      </c>
      <c r="E50" s="39">
        <f>Calculation!D32</f>
        <v>92773</v>
      </c>
      <c r="F50" s="21">
        <f>Calculation!E32</f>
        <v>0.58460000000000001</v>
      </c>
      <c r="G50" s="22">
        <f>Calculation!F32</f>
        <v>0.32150000000000001</v>
      </c>
      <c r="H50" s="23">
        <f>Calculation!G32</f>
        <v>11.9</v>
      </c>
      <c r="I50" s="24">
        <f>Calculation!J32</f>
        <v>29829</v>
      </c>
      <c r="J50" s="6" t="str">
        <f t="shared" si="0"/>
        <v>High</v>
      </c>
    </row>
    <row r="51" spans="1:10" ht="15" customHeight="1">
      <c r="A51" s="7">
        <v>32</v>
      </c>
      <c r="B51" s="6" t="s">
        <v>326</v>
      </c>
      <c r="C51" s="7" t="s">
        <v>327</v>
      </c>
      <c r="D51" s="7" t="s">
        <v>303</v>
      </c>
      <c r="E51" s="39">
        <f>Calculation!D33</f>
        <v>92773</v>
      </c>
      <c r="F51" s="21">
        <f>Calculation!E33</f>
        <v>0.63780000000000003</v>
      </c>
      <c r="G51" s="22">
        <f>Calculation!F33</f>
        <v>0.3508</v>
      </c>
      <c r="H51" s="23">
        <f>Calculation!G33</f>
        <v>13</v>
      </c>
      <c r="I51" s="24">
        <f>Calculation!J33</f>
        <v>32544</v>
      </c>
      <c r="J51" s="6" t="str">
        <f t="shared" si="0"/>
        <v>Transformative</v>
      </c>
    </row>
    <row r="52" spans="1:10" ht="15" customHeight="1">
      <c r="A52" s="7">
        <v>33</v>
      </c>
      <c r="B52" s="6" t="s">
        <v>328</v>
      </c>
      <c r="C52" s="7" t="s">
        <v>329</v>
      </c>
      <c r="D52" s="7" t="s">
        <v>303</v>
      </c>
      <c r="E52" s="39">
        <f>Calculation!D34</f>
        <v>92773</v>
      </c>
      <c r="F52" s="21">
        <f>Calculation!E34</f>
        <v>0.61780000000000002</v>
      </c>
      <c r="G52" s="22">
        <f>Calculation!F34</f>
        <v>0.33979999999999999</v>
      </c>
      <c r="H52" s="23">
        <f>Calculation!G34</f>
        <v>12.6</v>
      </c>
      <c r="I52" s="24">
        <f>Calculation!J34</f>
        <v>31523</v>
      </c>
      <c r="J52" s="6" t="str">
        <f t="shared" si="0"/>
        <v>High</v>
      </c>
    </row>
    <row r="53" spans="1:10" ht="15" customHeight="1">
      <c r="A53" s="7">
        <v>34</v>
      </c>
      <c r="B53" s="6" t="s">
        <v>330</v>
      </c>
      <c r="C53" s="7" t="s">
        <v>331</v>
      </c>
      <c r="D53" s="7" t="s">
        <v>303</v>
      </c>
      <c r="E53" s="39">
        <f>Calculation!D35</f>
        <v>92773</v>
      </c>
      <c r="F53" s="21">
        <f>Calculation!E35</f>
        <v>0.57430000000000003</v>
      </c>
      <c r="G53" s="22">
        <f>Calculation!F35</f>
        <v>0.31590000000000001</v>
      </c>
      <c r="H53" s="23">
        <f>Calculation!G35</f>
        <v>11.7</v>
      </c>
      <c r="I53" s="24">
        <f>Calculation!J35</f>
        <v>29304</v>
      </c>
      <c r="J53" s="6" t="str">
        <f t="shared" si="0"/>
        <v>High</v>
      </c>
    </row>
    <row r="54" spans="1:10" ht="15" customHeight="1">
      <c r="A54" s="7">
        <v>35</v>
      </c>
      <c r="B54" s="6" t="s">
        <v>332</v>
      </c>
      <c r="C54" s="7" t="s">
        <v>333</v>
      </c>
      <c r="D54" s="7" t="s">
        <v>303</v>
      </c>
      <c r="E54" s="39">
        <f>Calculation!D36</f>
        <v>92773</v>
      </c>
      <c r="F54" s="21">
        <f>Calculation!E36</f>
        <v>0.60060000000000002</v>
      </c>
      <c r="G54" s="22">
        <f>Calculation!F36</f>
        <v>0.33029999999999998</v>
      </c>
      <c r="H54" s="23">
        <f>Calculation!G36</f>
        <v>12.2</v>
      </c>
      <c r="I54" s="24">
        <f>Calculation!J36</f>
        <v>30646</v>
      </c>
      <c r="J54" s="6" t="str">
        <f t="shared" si="0"/>
        <v>High</v>
      </c>
    </row>
    <row r="55" spans="1:10" ht="15" customHeight="1">
      <c r="A55" s="7">
        <v>36</v>
      </c>
      <c r="B55" s="6" t="s">
        <v>334</v>
      </c>
      <c r="C55" s="7" t="s">
        <v>335</v>
      </c>
      <c r="D55" s="7" t="s">
        <v>303</v>
      </c>
      <c r="E55" s="39">
        <f>Calculation!D37</f>
        <v>92773</v>
      </c>
      <c r="F55" s="21">
        <f>Calculation!E37</f>
        <v>0.61380000000000001</v>
      </c>
      <c r="G55" s="22">
        <f>Calculation!F37</f>
        <v>0.33760000000000001</v>
      </c>
      <c r="H55" s="23">
        <f>Calculation!G37</f>
        <v>12.5</v>
      </c>
      <c r="I55" s="24">
        <f>Calculation!J37</f>
        <v>31319</v>
      </c>
      <c r="J55" s="6" t="str">
        <f t="shared" si="0"/>
        <v>High</v>
      </c>
    </row>
    <row r="56" spans="1:10" ht="15" customHeight="1">
      <c r="A56" s="7">
        <v>37</v>
      </c>
      <c r="B56" s="6" t="s">
        <v>336</v>
      </c>
      <c r="C56" s="7" t="s">
        <v>337</v>
      </c>
      <c r="D56" s="7" t="s">
        <v>303</v>
      </c>
      <c r="E56" s="39">
        <f>Calculation!D38</f>
        <v>92773</v>
      </c>
      <c r="F56" s="21">
        <f>Calculation!E38</f>
        <v>0.70669999999999999</v>
      </c>
      <c r="G56" s="22">
        <f>Calculation!F38</f>
        <v>0.38869999999999999</v>
      </c>
      <c r="H56" s="23">
        <f>Calculation!G38</f>
        <v>14.4</v>
      </c>
      <c r="I56" s="24">
        <f>Calculation!J38</f>
        <v>36059</v>
      </c>
      <c r="J56" s="6" t="str">
        <f t="shared" si="0"/>
        <v>Transformative</v>
      </c>
    </row>
    <row r="57" spans="1:10" ht="15" customHeight="1">
      <c r="A57" s="7">
        <v>38</v>
      </c>
      <c r="B57" s="6" t="s">
        <v>338</v>
      </c>
      <c r="C57" s="7" t="s">
        <v>339</v>
      </c>
      <c r="D57" s="7" t="s">
        <v>303</v>
      </c>
      <c r="E57" s="39">
        <f>Calculation!D39</f>
        <v>92773</v>
      </c>
      <c r="F57" s="21">
        <f>Calculation!E39</f>
        <v>0.56000000000000005</v>
      </c>
      <c r="G57" s="22">
        <f>Calculation!F39</f>
        <v>0.308</v>
      </c>
      <c r="H57" s="23">
        <f>Calculation!G39</f>
        <v>11.4</v>
      </c>
      <c r="I57" s="24">
        <f>Calculation!J39</f>
        <v>28574</v>
      </c>
      <c r="J57" s="6" t="str">
        <f t="shared" si="0"/>
        <v>High</v>
      </c>
    </row>
    <row r="58" spans="1:10" ht="15" customHeight="1">
      <c r="A58" s="7">
        <v>39</v>
      </c>
      <c r="B58" s="6" t="s">
        <v>340</v>
      </c>
      <c r="C58" s="7" t="s">
        <v>341</v>
      </c>
      <c r="D58" s="7" t="s">
        <v>303</v>
      </c>
      <c r="E58" s="39">
        <f>Calculation!D40</f>
        <v>92773</v>
      </c>
      <c r="F58" s="21">
        <f>Calculation!E40</f>
        <v>0.62709999999999999</v>
      </c>
      <c r="G58" s="22">
        <f>Calculation!F40</f>
        <v>0.34489999999999998</v>
      </c>
      <c r="H58" s="23">
        <f>Calculation!G40</f>
        <v>12.8</v>
      </c>
      <c r="I58" s="24">
        <f>Calculation!J40</f>
        <v>31998</v>
      </c>
      <c r="J58" s="6" t="str">
        <f t="shared" si="0"/>
        <v>High</v>
      </c>
    </row>
    <row r="59" spans="1:10" ht="15" customHeight="1">
      <c r="A59" s="7">
        <v>40</v>
      </c>
      <c r="B59" s="6" t="s">
        <v>342</v>
      </c>
      <c r="C59" s="7" t="s">
        <v>343</v>
      </c>
      <c r="D59" s="7" t="s">
        <v>303</v>
      </c>
      <c r="E59" s="39">
        <f>Calculation!D41</f>
        <v>92773</v>
      </c>
      <c r="F59" s="21">
        <f>Calculation!E41</f>
        <v>0.69299999999999995</v>
      </c>
      <c r="G59" s="22">
        <f>Calculation!F41</f>
        <v>0.38109999999999999</v>
      </c>
      <c r="H59" s="23">
        <f>Calculation!G41</f>
        <v>14.1</v>
      </c>
      <c r="I59" s="24">
        <f>Calculation!J41</f>
        <v>35360</v>
      </c>
      <c r="J59" s="6" t="str">
        <f t="shared" si="0"/>
        <v>Transformative</v>
      </c>
    </row>
    <row r="60" spans="1:10" ht="15" customHeight="1">
      <c r="A60" s="7">
        <v>41</v>
      </c>
      <c r="B60" s="6" t="s">
        <v>344</v>
      </c>
      <c r="C60" s="7" t="s">
        <v>345</v>
      </c>
      <c r="D60" s="7" t="s">
        <v>303</v>
      </c>
      <c r="E60" s="39">
        <f>Calculation!D42</f>
        <v>92773</v>
      </c>
      <c r="F60" s="21">
        <f>Calculation!E42</f>
        <v>0.62719999999999998</v>
      </c>
      <c r="G60" s="22">
        <f>Calculation!F42</f>
        <v>0.34499999999999997</v>
      </c>
      <c r="H60" s="23">
        <f>Calculation!G42</f>
        <v>12.8</v>
      </c>
      <c r="I60" s="24">
        <f>Calculation!J42</f>
        <v>32003</v>
      </c>
      <c r="J60" s="6" t="str">
        <f t="shared" si="0"/>
        <v>High</v>
      </c>
    </row>
    <row r="61" spans="1:10" ht="15" customHeight="1">
      <c r="A61" s="7">
        <v>42</v>
      </c>
      <c r="B61" s="6" t="s">
        <v>346</v>
      </c>
      <c r="C61" s="7" t="s">
        <v>347</v>
      </c>
      <c r="D61" s="7" t="s">
        <v>348</v>
      </c>
      <c r="E61" s="39">
        <f>Calculation!D43</f>
        <v>75214</v>
      </c>
      <c r="F61" s="21">
        <f>Calculation!E43</f>
        <v>0.79159999999999997</v>
      </c>
      <c r="G61" s="22">
        <f>Calculation!F43</f>
        <v>0.39579999999999999</v>
      </c>
      <c r="H61" s="23">
        <f>Calculation!G43</f>
        <v>14.6</v>
      </c>
      <c r="I61" s="24">
        <f>Calculation!J43</f>
        <v>29770</v>
      </c>
      <c r="J61" s="6" t="str">
        <f t="shared" si="0"/>
        <v>Transformative</v>
      </c>
    </row>
    <row r="62" spans="1:10" ht="15" customHeight="1">
      <c r="A62" s="7">
        <v>43</v>
      </c>
      <c r="B62" s="6" t="s">
        <v>349</v>
      </c>
      <c r="C62" s="7" t="s">
        <v>350</v>
      </c>
      <c r="D62" s="7" t="s">
        <v>348</v>
      </c>
      <c r="E62" s="39">
        <f>Calculation!D44</f>
        <v>75214</v>
      </c>
      <c r="F62" s="21">
        <f>Calculation!E44</f>
        <v>0.79159999999999997</v>
      </c>
      <c r="G62" s="22">
        <f>Calculation!F44</f>
        <v>0.39579999999999999</v>
      </c>
      <c r="H62" s="23">
        <f>Calculation!G44</f>
        <v>14.6</v>
      </c>
      <c r="I62" s="24">
        <f>Calculation!J44</f>
        <v>29770</v>
      </c>
      <c r="J62" s="6" t="str">
        <f t="shared" si="0"/>
        <v>Transformative</v>
      </c>
    </row>
    <row r="63" spans="1:10" ht="15" customHeight="1">
      <c r="A63" s="7">
        <v>44</v>
      </c>
      <c r="B63" s="6" t="s">
        <v>351</v>
      </c>
      <c r="C63" s="7" t="s">
        <v>352</v>
      </c>
      <c r="D63" s="7" t="s">
        <v>348</v>
      </c>
      <c r="E63" s="39">
        <f>Calculation!D45</f>
        <v>75214</v>
      </c>
      <c r="F63" s="21">
        <f>Calculation!E45</f>
        <v>0.78710000000000002</v>
      </c>
      <c r="G63" s="22">
        <f>Calculation!F45</f>
        <v>0.39350000000000002</v>
      </c>
      <c r="H63" s="23">
        <f>Calculation!G45</f>
        <v>14.6</v>
      </c>
      <c r="I63" s="24">
        <f>Calculation!J45</f>
        <v>29600</v>
      </c>
      <c r="J63" s="6" t="str">
        <f t="shared" si="0"/>
        <v>Transformative</v>
      </c>
    </row>
    <row r="64" spans="1:10" ht="15" customHeight="1">
      <c r="A64" s="7">
        <v>45</v>
      </c>
      <c r="B64" s="6" t="s">
        <v>353</v>
      </c>
      <c r="C64" s="7" t="s">
        <v>354</v>
      </c>
      <c r="D64" s="7" t="s">
        <v>348</v>
      </c>
      <c r="E64" s="39">
        <f>Calculation!D46</f>
        <v>75214</v>
      </c>
      <c r="F64" s="21">
        <f>Calculation!E46</f>
        <v>0.79159999999999997</v>
      </c>
      <c r="G64" s="22">
        <f>Calculation!F46</f>
        <v>0.39579999999999999</v>
      </c>
      <c r="H64" s="23">
        <f>Calculation!G46</f>
        <v>14.6</v>
      </c>
      <c r="I64" s="24">
        <f>Calculation!J46</f>
        <v>29770</v>
      </c>
      <c r="J64" s="6" t="str">
        <f t="shared" si="0"/>
        <v>Transformative</v>
      </c>
    </row>
    <row r="65" spans="1:10" ht="15" customHeight="1">
      <c r="A65" s="7">
        <v>46</v>
      </c>
      <c r="B65" s="6" t="s">
        <v>355</v>
      </c>
      <c r="C65" s="7" t="s">
        <v>356</v>
      </c>
      <c r="D65" s="7" t="s">
        <v>348</v>
      </c>
      <c r="E65" s="39">
        <f>Calculation!D47</f>
        <v>75214</v>
      </c>
      <c r="F65" s="21">
        <f>Calculation!E47</f>
        <v>0.75270000000000004</v>
      </c>
      <c r="G65" s="22">
        <f>Calculation!F47</f>
        <v>0.37630000000000002</v>
      </c>
      <c r="H65" s="23">
        <f>Calculation!G47</f>
        <v>13.9</v>
      </c>
      <c r="I65" s="24">
        <f>Calculation!J47</f>
        <v>28307</v>
      </c>
      <c r="J65" s="6" t="str">
        <f t="shared" si="0"/>
        <v>Transformative</v>
      </c>
    </row>
    <row r="66" spans="1:10" ht="15" customHeight="1">
      <c r="A66" s="7">
        <v>47</v>
      </c>
      <c r="B66" s="6" t="s">
        <v>357</v>
      </c>
      <c r="C66" s="7" t="s">
        <v>358</v>
      </c>
      <c r="D66" s="7" t="s">
        <v>348</v>
      </c>
      <c r="E66" s="39">
        <f>Calculation!D48</f>
        <v>75214</v>
      </c>
      <c r="F66" s="21">
        <f>Calculation!E48</f>
        <v>0.78439999999999999</v>
      </c>
      <c r="G66" s="22">
        <f>Calculation!F48</f>
        <v>0.39219999999999999</v>
      </c>
      <c r="H66" s="23">
        <f>Calculation!G48</f>
        <v>14.5</v>
      </c>
      <c r="I66" s="24">
        <f>Calculation!J48</f>
        <v>29499</v>
      </c>
      <c r="J66" s="6" t="str">
        <f t="shared" si="0"/>
        <v>Transformative</v>
      </c>
    </row>
    <row r="67" spans="1:10" ht="15" customHeight="1">
      <c r="A67" s="7">
        <v>48</v>
      </c>
      <c r="B67" s="6" t="s">
        <v>359</v>
      </c>
      <c r="C67" s="7" t="s">
        <v>360</v>
      </c>
      <c r="D67" s="7" t="s">
        <v>348</v>
      </c>
      <c r="E67" s="39">
        <f>Calculation!D49</f>
        <v>75214</v>
      </c>
      <c r="F67" s="21">
        <f>Calculation!E49</f>
        <v>0.76890000000000003</v>
      </c>
      <c r="G67" s="22">
        <f>Calculation!F49</f>
        <v>0.38450000000000001</v>
      </c>
      <c r="H67" s="23">
        <f>Calculation!G49</f>
        <v>14.2</v>
      </c>
      <c r="I67" s="24">
        <f>Calculation!J49</f>
        <v>28916</v>
      </c>
      <c r="J67" s="6" t="str">
        <f t="shared" si="0"/>
        <v>Transformative</v>
      </c>
    </row>
    <row r="68" spans="1:10" ht="15" customHeight="1">
      <c r="A68" s="7">
        <v>49</v>
      </c>
      <c r="B68" s="6" t="s">
        <v>361</v>
      </c>
      <c r="C68" s="7" t="s">
        <v>362</v>
      </c>
      <c r="D68" s="7" t="s">
        <v>348</v>
      </c>
      <c r="E68" s="39">
        <f>Calculation!D50</f>
        <v>75214</v>
      </c>
      <c r="F68" s="21">
        <f>Calculation!E50</f>
        <v>0.76280000000000003</v>
      </c>
      <c r="G68" s="22">
        <f>Calculation!F50</f>
        <v>0.38140000000000002</v>
      </c>
      <c r="H68" s="23">
        <f>Calculation!G50</f>
        <v>14.1</v>
      </c>
      <c r="I68" s="24">
        <f>Calculation!J50</f>
        <v>28687</v>
      </c>
      <c r="J68" s="6" t="str">
        <f t="shared" si="0"/>
        <v>Transformative</v>
      </c>
    </row>
    <row r="69" spans="1:10" ht="15" customHeight="1">
      <c r="A69" s="7">
        <v>50</v>
      </c>
      <c r="B69" s="6" t="s">
        <v>363</v>
      </c>
      <c r="C69" s="7" t="s">
        <v>364</v>
      </c>
      <c r="D69" s="7" t="s">
        <v>348</v>
      </c>
      <c r="E69" s="39">
        <f>Calculation!D51</f>
        <v>75214</v>
      </c>
      <c r="F69" s="21">
        <f>Calculation!E51</f>
        <v>0.76280000000000003</v>
      </c>
      <c r="G69" s="22">
        <f>Calculation!F51</f>
        <v>0.38140000000000002</v>
      </c>
      <c r="H69" s="23">
        <f>Calculation!G51</f>
        <v>14.1</v>
      </c>
      <c r="I69" s="24">
        <f>Calculation!J51</f>
        <v>28687</v>
      </c>
      <c r="J69" s="6" t="str">
        <f t="shared" si="0"/>
        <v>Transformative</v>
      </c>
    </row>
    <row r="70" spans="1:10" ht="15" customHeight="1">
      <c r="A70" s="7">
        <v>51</v>
      </c>
      <c r="B70" s="6" t="s">
        <v>365</v>
      </c>
      <c r="C70" s="7" t="s">
        <v>366</v>
      </c>
      <c r="D70" s="7" t="s">
        <v>348</v>
      </c>
      <c r="E70" s="39">
        <f>Calculation!D52</f>
        <v>75214</v>
      </c>
      <c r="F70" s="21">
        <f>Calculation!E52</f>
        <v>0.76080000000000003</v>
      </c>
      <c r="G70" s="22">
        <f>Calculation!F52</f>
        <v>0.38040000000000002</v>
      </c>
      <c r="H70" s="23">
        <f>Calculation!G52</f>
        <v>14.1</v>
      </c>
      <c r="I70" s="24">
        <f>Calculation!J52</f>
        <v>28611</v>
      </c>
      <c r="J70" s="6" t="str">
        <f t="shared" si="0"/>
        <v>Transformative</v>
      </c>
    </row>
    <row r="71" spans="1:10" ht="15" customHeight="1">
      <c r="A71" s="7">
        <v>52</v>
      </c>
      <c r="B71" s="6" t="s">
        <v>367</v>
      </c>
      <c r="C71" s="7" t="s">
        <v>368</v>
      </c>
      <c r="D71" s="7" t="s">
        <v>348</v>
      </c>
      <c r="E71" s="39">
        <f>Calculation!D53</f>
        <v>75214</v>
      </c>
      <c r="F71" s="21">
        <f>Calculation!E53</f>
        <v>0.76580000000000004</v>
      </c>
      <c r="G71" s="22">
        <f>Calculation!F53</f>
        <v>0.38290000000000002</v>
      </c>
      <c r="H71" s="23">
        <f>Calculation!G53</f>
        <v>14.2</v>
      </c>
      <c r="I71" s="24">
        <f>Calculation!J53</f>
        <v>28799</v>
      </c>
      <c r="J71" s="6" t="str">
        <f t="shared" si="0"/>
        <v>Transformative</v>
      </c>
    </row>
    <row r="72" spans="1:10" ht="15" customHeight="1">
      <c r="A72" s="7">
        <v>53</v>
      </c>
      <c r="B72" s="6" t="s">
        <v>369</v>
      </c>
      <c r="C72" s="7" t="s">
        <v>370</v>
      </c>
      <c r="D72" s="7" t="s">
        <v>348</v>
      </c>
      <c r="E72" s="39">
        <f>Calculation!D54</f>
        <v>75214</v>
      </c>
      <c r="F72" s="21">
        <f>Calculation!E54</f>
        <v>0.76280000000000003</v>
      </c>
      <c r="G72" s="22">
        <f>Calculation!F54</f>
        <v>0.38140000000000002</v>
      </c>
      <c r="H72" s="23">
        <f>Calculation!G54</f>
        <v>14.1</v>
      </c>
      <c r="I72" s="24">
        <f>Calculation!J54</f>
        <v>28687</v>
      </c>
      <c r="J72" s="6" t="str">
        <f t="shared" si="0"/>
        <v>Transformative</v>
      </c>
    </row>
    <row r="73" spans="1:10" ht="15" customHeight="1">
      <c r="A73" s="7">
        <v>54</v>
      </c>
      <c r="B73" s="6" t="s">
        <v>371</v>
      </c>
      <c r="C73" s="7" t="s">
        <v>372</v>
      </c>
      <c r="D73" s="7" t="s">
        <v>348</v>
      </c>
      <c r="E73" s="39">
        <f>Calculation!D55</f>
        <v>75214</v>
      </c>
      <c r="F73" s="21">
        <f>Calculation!E55</f>
        <v>0.72030000000000005</v>
      </c>
      <c r="G73" s="22">
        <f>Calculation!F55</f>
        <v>0.36020000000000002</v>
      </c>
      <c r="H73" s="23">
        <f>Calculation!G55</f>
        <v>13.3</v>
      </c>
      <c r="I73" s="24">
        <f>Calculation!J55</f>
        <v>27088</v>
      </c>
      <c r="J73" s="6" t="str">
        <f t="shared" si="0"/>
        <v>Transformative</v>
      </c>
    </row>
    <row r="74" spans="1:10" ht="15" customHeight="1">
      <c r="A74" s="7">
        <v>55</v>
      </c>
      <c r="B74" s="6" t="s">
        <v>373</v>
      </c>
      <c r="C74" s="7" t="s">
        <v>374</v>
      </c>
      <c r="D74" s="7" t="s">
        <v>348</v>
      </c>
      <c r="E74" s="39">
        <f>Calculation!D56</f>
        <v>75214</v>
      </c>
      <c r="F74" s="21">
        <f>Calculation!E56</f>
        <v>0.74609999999999999</v>
      </c>
      <c r="G74" s="22">
        <f>Calculation!F56</f>
        <v>0.373</v>
      </c>
      <c r="H74" s="23">
        <f>Calculation!G56</f>
        <v>13.8</v>
      </c>
      <c r="I74" s="24">
        <f>Calculation!J56</f>
        <v>28059</v>
      </c>
      <c r="J74" s="6" t="str">
        <f t="shared" si="0"/>
        <v>Transformative</v>
      </c>
    </row>
    <row r="75" spans="1:10" ht="15" customHeight="1">
      <c r="A75" s="7">
        <v>56</v>
      </c>
      <c r="B75" s="6" t="s">
        <v>375</v>
      </c>
      <c r="C75" s="7" t="s">
        <v>376</v>
      </c>
      <c r="D75" s="7" t="s">
        <v>348</v>
      </c>
      <c r="E75" s="39">
        <f>Calculation!D57</f>
        <v>75214</v>
      </c>
      <c r="F75" s="21">
        <f>Calculation!E57</f>
        <v>0.71430000000000005</v>
      </c>
      <c r="G75" s="22">
        <f>Calculation!F57</f>
        <v>0.35709999999999997</v>
      </c>
      <c r="H75" s="23">
        <f>Calculation!G57</f>
        <v>13.2</v>
      </c>
      <c r="I75" s="24">
        <f>Calculation!J57</f>
        <v>26863</v>
      </c>
      <c r="J75" s="6" t="str">
        <f t="shared" si="0"/>
        <v>Transformative</v>
      </c>
    </row>
    <row r="76" spans="1:10" ht="15" customHeight="1">
      <c r="A76" s="7">
        <v>57</v>
      </c>
      <c r="B76" s="6" t="s">
        <v>377</v>
      </c>
      <c r="C76" s="7" t="s">
        <v>378</v>
      </c>
      <c r="D76" s="7" t="s">
        <v>348</v>
      </c>
      <c r="E76" s="39">
        <f>Calculation!D58</f>
        <v>75214</v>
      </c>
      <c r="F76" s="21">
        <f>Calculation!E58</f>
        <v>0.68669999999999998</v>
      </c>
      <c r="G76" s="22">
        <f>Calculation!F58</f>
        <v>0.34329999999999999</v>
      </c>
      <c r="H76" s="23">
        <f>Calculation!G58</f>
        <v>12.7</v>
      </c>
      <c r="I76" s="24">
        <f>Calculation!J58</f>
        <v>25825</v>
      </c>
      <c r="J76" s="6" t="str">
        <f t="shared" si="0"/>
        <v>High</v>
      </c>
    </row>
    <row r="77" spans="1:10" ht="15" customHeight="1">
      <c r="A77" s="7">
        <v>58</v>
      </c>
      <c r="B77" s="6" t="s">
        <v>379</v>
      </c>
      <c r="C77" s="7" t="s">
        <v>380</v>
      </c>
      <c r="D77" s="7" t="s">
        <v>348</v>
      </c>
      <c r="E77" s="39">
        <f>Calculation!D59</f>
        <v>75214</v>
      </c>
      <c r="F77" s="21">
        <f>Calculation!E59</f>
        <v>0.76880000000000004</v>
      </c>
      <c r="G77" s="22">
        <f>Calculation!F59</f>
        <v>0.38440000000000002</v>
      </c>
      <c r="H77" s="23">
        <f>Calculation!G59</f>
        <v>14.2</v>
      </c>
      <c r="I77" s="24">
        <f>Calculation!J59</f>
        <v>28912</v>
      </c>
      <c r="J77" s="6" t="str">
        <f t="shared" si="0"/>
        <v>Transformative</v>
      </c>
    </row>
    <row r="78" spans="1:10" ht="15" customHeight="1">
      <c r="A78" s="7">
        <v>59</v>
      </c>
      <c r="B78" s="6" t="s">
        <v>381</v>
      </c>
      <c r="C78" s="7" t="s">
        <v>382</v>
      </c>
      <c r="D78" s="7" t="s">
        <v>348</v>
      </c>
      <c r="E78" s="39">
        <f>Calculation!D60</f>
        <v>75214</v>
      </c>
      <c r="F78" s="21">
        <f>Calculation!E60</f>
        <v>0.76339999999999997</v>
      </c>
      <c r="G78" s="22">
        <f>Calculation!F60</f>
        <v>0.38169999999999998</v>
      </c>
      <c r="H78" s="23">
        <f>Calculation!G60</f>
        <v>14.1</v>
      </c>
      <c r="I78" s="24">
        <f>Calculation!J60</f>
        <v>28709</v>
      </c>
      <c r="J78" s="6" t="str">
        <f t="shared" si="0"/>
        <v>Transformative</v>
      </c>
    </row>
    <row r="79" spans="1:10" ht="15" customHeight="1">
      <c r="A79" s="7">
        <v>60</v>
      </c>
      <c r="B79" s="6" t="s">
        <v>383</v>
      </c>
      <c r="C79" s="7" t="s">
        <v>384</v>
      </c>
      <c r="D79" s="7" t="s">
        <v>348</v>
      </c>
      <c r="E79" s="39">
        <f>Calculation!D61</f>
        <v>75214</v>
      </c>
      <c r="F79" s="21">
        <f>Calculation!E61</f>
        <v>0.77749999999999997</v>
      </c>
      <c r="G79" s="22">
        <f>Calculation!F61</f>
        <v>0.38869999999999999</v>
      </c>
      <c r="H79" s="23">
        <f>Calculation!G61</f>
        <v>14.4</v>
      </c>
      <c r="I79" s="24">
        <f>Calculation!J61</f>
        <v>29239</v>
      </c>
      <c r="J79" s="6" t="str">
        <f t="shared" si="0"/>
        <v>Transformative</v>
      </c>
    </row>
    <row r="80" spans="1:10" ht="15" customHeight="1">
      <c r="A80" s="7">
        <v>61</v>
      </c>
      <c r="B80" s="6" t="s">
        <v>385</v>
      </c>
      <c r="C80" s="7" t="s">
        <v>386</v>
      </c>
      <c r="D80" s="7" t="s">
        <v>348</v>
      </c>
      <c r="E80" s="39">
        <f>Calculation!D62</f>
        <v>75214</v>
      </c>
      <c r="F80" s="21">
        <f>Calculation!E62</f>
        <v>0.76829999999999998</v>
      </c>
      <c r="G80" s="22">
        <f>Calculation!F62</f>
        <v>0.3841</v>
      </c>
      <c r="H80" s="23">
        <f>Calculation!G62</f>
        <v>14.2</v>
      </c>
      <c r="I80" s="24">
        <f>Calculation!J62</f>
        <v>28893</v>
      </c>
      <c r="J80" s="6" t="str">
        <f t="shared" si="0"/>
        <v>Transformative</v>
      </c>
    </row>
    <row r="81" spans="1:10" ht="15" customHeight="1">
      <c r="A81" s="7">
        <v>62</v>
      </c>
      <c r="B81" s="6" t="s">
        <v>387</v>
      </c>
      <c r="C81" s="7" t="s">
        <v>388</v>
      </c>
      <c r="D81" s="7" t="s">
        <v>348</v>
      </c>
      <c r="E81" s="39">
        <f>Calculation!D63</f>
        <v>75214</v>
      </c>
      <c r="F81" s="21">
        <f>Calculation!E63</f>
        <v>0.71050000000000002</v>
      </c>
      <c r="G81" s="22">
        <f>Calculation!F63</f>
        <v>0.3553</v>
      </c>
      <c r="H81" s="23">
        <f>Calculation!G63</f>
        <v>13.1</v>
      </c>
      <c r="I81" s="24">
        <f>Calculation!J63</f>
        <v>26720</v>
      </c>
      <c r="J81" s="6" t="str">
        <f t="shared" si="0"/>
        <v>Transformative</v>
      </c>
    </row>
    <row r="82" spans="1:10" ht="15" customHeight="1">
      <c r="A82" s="7">
        <v>63</v>
      </c>
      <c r="B82" s="6" t="s">
        <v>389</v>
      </c>
      <c r="C82" s="7" t="s">
        <v>390</v>
      </c>
      <c r="D82" s="7" t="s">
        <v>348</v>
      </c>
      <c r="E82" s="39">
        <f>Calculation!D64</f>
        <v>75214</v>
      </c>
      <c r="F82" s="21">
        <f>Calculation!E64</f>
        <v>0.75119999999999998</v>
      </c>
      <c r="G82" s="22">
        <f>Calculation!F64</f>
        <v>0.37559999999999999</v>
      </c>
      <c r="H82" s="23">
        <f>Calculation!G64</f>
        <v>13.9</v>
      </c>
      <c r="I82" s="24">
        <f>Calculation!J64</f>
        <v>28250</v>
      </c>
      <c r="J82" s="6" t="str">
        <f t="shared" si="0"/>
        <v>Transformative</v>
      </c>
    </row>
    <row r="83" spans="1:10" ht="15" customHeight="1">
      <c r="A83" s="7">
        <v>64</v>
      </c>
      <c r="B83" s="6" t="s">
        <v>391</v>
      </c>
      <c r="C83" s="7" t="s">
        <v>392</v>
      </c>
      <c r="D83" s="7" t="s">
        <v>348</v>
      </c>
      <c r="E83" s="39">
        <f>Calculation!D65</f>
        <v>75214</v>
      </c>
      <c r="F83" s="21">
        <f>Calculation!E65</f>
        <v>0.76900000000000002</v>
      </c>
      <c r="G83" s="22">
        <f>Calculation!F65</f>
        <v>0.38450000000000001</v>
      </c>
      <c r="H83" s="23">
        <f>Calculation!G65</f>
        <v>14.2</v>
      </c>
      <c r="I83" s="24">
        <f>Calculation!J65</f>
        <v>28920</v>
      </c>
      <c r="J83" s="6" t="str">
        <f t="shared" si="0"/>
        <v>Transformative</v>
      </c>
    </row>
    <row r="84" spans="1:10" ht="15" customHeight="1">
      <c r="A84" s="7">
        <v>65</v>
      </c>
      <c r="B84" s="6" t="s">
        <v>393</v>
      </c>
      <c r="C84" s="7" t="s">
        <v>394</v>
      </c>
      <c r="D84" s="7" t="s">
        <v>348</v>
      </c>
      <c r="E84" s="39">
        <f>Calculation!D66</f>
        <v>75214</v>
      </c>
      <c r="F84" s="21">
        <f>Calculation!E66</f>
        <v>0.73729999999999996</v>
      </c>
      <c r="G84" s="22">
        <f>Calculation!F66</f>
        <v>0.36870000000000003</v>
      </c>
      <c r="H84" s="23">
        <f>Calculation!G66</f>
        <v>13.6</v>
      </c>
      <c r="I84" s="24">
        <f>Calculation!J66</f>
        <v>27728</v>
      </c>
      <c r="J84" s="6" t="str">
        <f t="shared" ref="J84:J147" si="1">IF(G84&gt;=35%,"Transformative",IF(G84&gt;=25%,"High",IF(G84&gt;=15%,"Moderate","Low")))</f>
        <v>Transformative</v>
      </c>
    </row>
    <row r="85" spans="1:10" ht="15" customHeight="1">
      <c r="A85" s="7">
        <v>66</v>
      </c>
      <c r="B85" s="6" t="s">
        <v>395</v>
      </c>
      <c r="C85" s="7" t="s">
        <v>396</v>
      </c>
      <c r="D85" s="7" t="s">
        <v>348</v>
      </c>
      <c r="E85" s="39">
        <f>Calculation!D67</f>
        <v>75214</v>
      </c>
      <c r="F85" s="21">
        <f>Calculation!E67</f>
        <v>0.71719999999999995</v>
      </c>
      <c r="G85" s="22">
        <f>Calculation!F67</f>
        <v>0.35859999999999997</v>
      </c>
      <c r="H85" s="23">
        <f>Calculation!G67</f>
        <v>13.3</v>
      </c>
      <c r="I85" s="24">
        <f>Calculation!J67</f>
        <v>26972</v>
      </c>
      <c r="J85" s="6" t="str">
        <f t="shared" si="1"/>
        <v>Transformative</v>
      </c>
    </row>
    <row r="86" spans="1:10" ht="15" customHeight="1">
      <c r="A86" s="7">
        <v>67</v>
      </c>
      <c r="B86" s="6" t="s">
        <v>397</v>
      </c>
      <c r="C86" s="7" t="s">
        <v>398</v>
      </c>
      <c r="D86" s="7" t="s">
        <v>348</v>
      </c>
      <c r="E86" s="39">
        <f>Calculation!D68</f>
        <v>75214</v>
      </c>
      <c r="F86" s="21">
        <f>Calculation!E68</f>
        <v>0.75249999999999995</v>
      </c>
      <c r="G86" s="22">
        <f>Calculation!F68</f>
        <v>0.37619999999999998</v>
      </c>
      <c r="H86" s="23">
        <f>Calculation!G68</f>
        <v>13.9</v>
      </c>
      <c r="I86" s="24">
        <f>Calculation!J68</f>
        <v>28299</v>
      </c>
      <c r="J86" s="6" t="str">
        <f t="shared" si="1"/>
        <v>Transformative</v>
      </c>
    </row>
    <row r="87" spans="1:10" ht="15" customHeight="1">
      <c r="A87" s="7">
        <v>68</v>
      </c>
      <c r="B87" s="6" t="s">
        <v>399</v>
      </c>
      <c r="C87" s="7" t="s">
        <v>400</v>
      </c>
      <c r="D87" s="7" t="s">
        <v>348</v>
      </c>
      <c r="E87" s="39">
        <f>Calculation!D69</f>
        <v>75214</v>
      </c>
      <c r="F87" s="21">
        <f>Calculation!E69</f>
        <v>0.82499999999999996</v>
      </c>
      <c r="G87" s="22">
        <f>Calculation!F69</f>
        <v>0.41249999999999998</v>
      </c>
      <c r="H87" s="23">
        <f>Calculation!G69</f>
        <v>15.3</v>
      </c>
      <c r="I87" s="24">
        <f>Calculation!J69</f>
        <v>31026</v>
      </c>
      <c r="J87" s="6" t="str">
        <f t="shared" si="1"/>
        <v>Transformative</v>
      </c>
    </row>
    <row r="88" spans="1:10" ht="15" customHeight="1">
      <c r="A88" s="7">
        <v>69</v>
      </c>
      <c r="B88" s="6" t="s">
        <v>401</v>
      </c>
      <c r="C88" s="7" t="s">
        <v>402</v>
      </c>
      <c r="D88" s="7" t="s">
        <v>348</v>
      </c>
      <c r="E88" s="39">
        <f>Calculation!D70</f>
        <v>75214</v>
      </c>
      <c r="F88" s="21">
        <f>Calculation!E70</f>
        <v>0.81530000000000002</v>
      </c>
      <c r="G88" s="22">
        <f>Calculation!F70</f>
        <v>0.40770000000000001</v>
      </c>
      <c r="H88" s="23">
        <f>Calculation!G70</f>
        <v>15.1</v>
      </c>
      <c r="I88" s="24">
        <f>Calculation!J70</f>
        <v>30661</v>
      </c>
      <c r="J88" s="6" t="str">
        <f t="shared" si="1"/>
        <v>Transformative</v>
      </c>
    </row>
    <row r="89" spans="1:10" ht="15" customHeight="1">
      <c r="A89" s="7">
        <v>70</v>
      </c>
      <c r="B89" s="6" t="s">
        <v>403</v>
      </c>
      <c r="C89" s="7" t="s">
        <v>404</v>
      </c>
      <c r="D89" s="7" t="s">
        <v>405</v>
      </c>
      <c r="E89" s="39">
        <f>Calculation!D71</f>
        <v>71038</v>
      </c>
      <c r="F89" s="21">
        <f>Calculation!E71</f>
        <v>0.67469999999999997</v>
      </c>
      <c r="G89" s="22">
        <f>Calculation!F71</f>
        <v>0.37109999999999999</v>
      </c>
      <c r="H89" s="23">
        <f>Calculation!G71</f>
        <v>13.7</v>
      </c>
      <c r="I89" s="24">
        <f>Calculation!J71</f>
        <v>26361</v>
      </c>
      <c r="J89" s="6" t="str">
        <f t="shared" si="1"/>
        <v>Transformative</v>
      </c>
    </row>
    <row r="90" spans="1:10" ht="15" customHeight="1">
      <c r="A90" s="7">
        <v>71</v>
      </c>
      <c r="B90" s="6" t="s">
        <v>406</v>
      </c>
      <c r="C90" s="7" t="s">
        <v>407</v>
      </c>
      <c r="D90" s="7" t="s">
        <v>405</v>
      </c>
      <c r="E90" s="39">
        <f>Calculation!D72</f>
        <v>71038</v>
      </c>
      <c r="F90" s="21">
        <f>Calculation!E72</f>
        <v>0.67969999999999997</v>
      </c>
      <c r="G90" s="22">
        <f>Calculation!F72</f>
        <v>0.37380000000000002</v>
      </c>
      <c r="H90" s="23">
        <f>Calculation!G72</f>
        <v>13.8</v>
      </c>
      <c r="I90" s="24">
        <f>Calculation!J72</f>
        <v>26556</v>
      </c>
      <c r="J90" s="6" t="str">
        <f t="shared" si="1"/>
        <v>Transformative</v>
      </c>
    </row>
    <row r="91" spans="1:10" ht="15" customHeight="1">
      <c r="A91" s="7">
        <v>72</v>
      </c>
      <c r="B91" s="6" t="s">
        <v>408</v>
      </c>
      <c r="C91" s="7" t="s">
        <v>409</v>
      </c>
      <c r="D91" s="7" t="s">
        <v>405</v>
      </c>
      <c r="E91" s="39">
        <f>Calculation!D73</f>
        <v>71038</v>
      </c>
      <c r="F91" s="21">
        <f>Calculation!E73</f>
        <v>0.49030000000000001</v>
      </c>
      <c r="G91" s="22">
        <f>Calculation!F73</f>
        <v>0.2697</v>
      </c>
      <c r="H91" s="23">
        <f>Calculation!G73</f>
        <v>10</v>
      </c>
      <c r="I91" s="24">
        <f>Calculation!J73</f>
        <v>19156</v>
      </c>
      <c r="J91" s="6" t="str">
        <f t="shared" si="1"/>
        <v>High</v>
      </c>
    </row>
    <row r="92" spans="1:10" ht="15" customHeight="1">
      <c r="A92" s="7">
        <v>73</v>
      </c>
      <c r="B92" s="6" t="s">
        <v>410</v>
      </c>
      <c r="C92" s="7" t="s">
        <v>411</v>
      </c>
      <c r="D92" s="7" t="s">
        <v>405</v>
      </c>
      <c r="E92" s="39">
        <f>Calculation!D74</f>
        <v>71038</v>
      </c>
      <c r="F92" s="21">
        <f>Calculation!E74</f>
        <v>0.56559999999999999</v>
      </c>
      <c r="G92" s="22">
        <f>Calculation!F74</f>
        <v>0.31109999999999999</v>
      </c>
      <c r="H92" s="23">
        <f>Calculation!G74</f>
        <v>11.5</v>
      </c>
      <c r="I92" s="24">
        <f>Calculation!J74</f>
        <v>22099</v>
      </c>
      <c r="J92" s="6" t="str">
        <f t="shared" si="1"/>
        <v>High</v>
      </c>
    </row>
    <row r="93" spans="1:10" ht="15" customHeight="1">
      <c r="A93" s="7">
        <v>74</v>
      </c>
      <c r="B93" s="6" t="s">
        <v>412</v>
      </c>
      <c r="C93" s="7" t="s">
        <v>413</v>
      </c>
      <c r="D93" s="7" t="s">
        <v>405</v>
      </c>
      <c r="E93" s="39">
        <f>Calculation!D75</f>
        <v>71038</v>
      </c>
      <c r="F93" s="21">
        <f>Calculation!E75</f>
        <v>0.61839999999999995</v>
      </c>
      <c r="G93" s="22">
        <f>Calculation!F75</f>
        <v>0.34010000000000001</v>
      </c>
      <c r="H93" s="23">
        <f>Calculation!G75</f>
        <v>12.6</v>
      </c>
      <c r="I93" s="24">
        <f>Calculation!J75</f>
        <v>24161</v>
      </c>
      <c r="J93" s="6" t="str">
        <f t="shared" si="1"/>
        <v>High</v>
      </c>
    </row>
    <row r="94" spans="1:10" ht="15" customHeight="1">
      <c r="A94" s="7">
        <v>75</v>
      </c>
      <c r="B94" s="6" t="s">
        <v>414</v>
      </c>
      <c r="C94" s="7" t="s">
        <v>415</v>
      </c>
      <c r="D94" s="7" t="s">
        <v>405</v>
      </c>
      <c r="E94" s="39">
        <f>Calculation!D76</f>
        <v>71038</v>
      </c>
      <c r="F94" s="21">
        <f>Calculation!E76</f>
        <v>0.59560000000000002</v>
      </c>
      <c r="G94" s="22">
        <f>Calculation!F76</f>
        <v>0.3276</v>
      </c>
      <c r="H94" s="23">
        <f>Calculation!G76</f>
        <v>12.1</v>
      </c>
      <c r="I94" s="24">
        <f>Calculation!J76</f>
        <v>23271</v>
      </c>
      <c r="J94" s="6" t="str">
        <f t="shared" si="1"/>
        <v>High</v>
      </c>
    </row>
    <row r="95" spans="1:10" ht="15" customHeight="1">
      <c r="A95" s="7">
        <v>76</v>
      </c>
      <c r="B95" s="6" t="s">
        <v>416</v>
      </c>
      <c r="C95" s="7" t="s">
        <v>417</v>
      </c>
      <c r="D95" s="7" t="s">
        <v>405</v>
      </c>
      <c r="E95" s="39">
        <f>Calculation!D77</f>
        <v>71038</v>
      </c>
      <c r="F95" s="21">
        <f>Calculation!E77</f>
        <v>0.63129999999999997</v>
      </c>
      <c r="G95" s="22">
        <f>Calculation!F77</f>
        <v>0.34720000000000001</v>
      </c>
      <c r="H95" s="23">
        <f>Calculation!G77</f>
        <v>12.8</v>
      </c>
      <c r="I95" s="24">
        <f>Calculation!J77</f>
        <v>24665</v>
      </c>
      <c r="J95" s="6" t="str">
        <f t="shared" si="1"/>
        <v>High</v>
      </c>
    </row>
    <row r="96" spans="1:10" ht="15" customHeight="1">
      <c r="A96" s="7">
        <v>77</v>
      </c>
      <c r="B96" s="6" t="s">
        <v>418</v>
      </c>
      <c r="C96" s="7" t="s">
        <v>419</v>
      </c>
      <c r="D96" s="7" t="s">
        <v>405</v>
      </c>
      <c r="E96" s="39">
        <f>Calculation!D78</f>
        <v>71038</v>
      </c>
      <c r="F96" s="21">
        <f>Calculation!E78</f>
        <v>0.7127</v>
      </c>
      <c r="G96" s="22">
        <f>Calculation!F78</f>
        <v>0.39200000000000002</v>
      </c>
      <c r="H96" s="23">
        <f>Calculation!G78</f>
        <v>14.5</v>
      </c>
      <c r="I96" s="24">
        <f>Calculation!J78</f>
        <v>27846</v>
      </c>
      <c r="J96" s="6" t="str">
        <f t="shared" si="1"/>
        <v>Transformative</v>
      </c>
    </row>
    <row r="97" spans="1:10" ht="15" customHeight="1">
      <c r="A97" s="7">
        <v>78</v>
      </c>
      <c r="B97" s="6" t="s">
        <v>420</v>
      </c>
      <c r="C97" s="7" t="s">
        <v>421</v>
      </c>
      <c r="D97" s="7" t="s">
        <v>405</v>
      </c>
      <c r="E97" s="39">
        <f>Calculation!D79</f>
        <v>71038</v>
      </c>
      <c r="F97" s="21">
        <f>Calculation!E79</f>
        <v>0.71160000000000001</v>
      </c>
      <c r="G97" s="22">
        <f>Calculation!F79</f>
        <v>0.39140000000000003</v>
      </c>
      <c r="H97" s="23">
        <f>Calculation!G79</f>
        <v>14.5</v>
      </c>
      <c r="I97" s="24">
        <f>Calculation!J79</f>
        <v>27803</v>
      </c>
      <c r="J97" s="6" t="str">
        <f t="shared" si="1"/>
        <v>Transformative</v>
      </c>
    </row>
    <row r="98" spans="1:10" ht="15" customHeight="1">
      <c r="A98" s="7">
        <v>79</v>
      </c>
      <c r="B98" s="6" t="s">
        <v>422</v>
      </c>
      <c r="C98" s="7" t="s">
        <v>423</v>
      </c>
      <c r="D98" s="7" t="s">
        <v>405</v>
      </c>
      <c r="E98" s="39">
        <f>Calculation!D80</f>
        <v>71038</v>
      </c>
      <c r="F98" s="21">
        <f>Calculation!E80</f>
        <v>0.5776</v>
      </c>
      <c r="G98" s="22">
        <f>Calculation!F80</f>
        <v>0.31769999999999998</v>
      </c>
      <c r="H98" s="23">
        <f>Calculation!G80</f>
        <v>11.8</v>
      </c>
      <c r="I98" s="24">
        <f>Calculation!J80</f>
        <v>22567</v>
      </c>
      <c r="J98" s="6" t="str">
        <f t="shared" si="1"/>
        <v>High</v>
      </c>
    </row>
    <row r="99" spans="1:10" ht="15" customHeight="1">
      <c r="A99" s="7">
        <v>80</v>
      </c>
      <c r="B99" s="6" t="s">
        <v>424</v>
      </c>
      <c r="C99" s="7" t="s">
        <v>425</v>
      </c>
      <c r="D99" s="7" t="s">
        <v>405</v>
      </c>
      <c r="E99" s="39">
        <f>Calculation!D81</f>
        <v>71038</v>
      </c>
      <c r="F99" s="21">
        <f>Calculation!E81</f>
        <v>0.56420000000000003</v>
      </c>
      <c r="G99" s="22">
        <f>Calculation!F81</f>
        <v>0.31030000000000002</v>
      </c>
      <c r="H99" s="23">
        <f>Calculation!G81</f>
        <v>11.5</v>
      </c>
      <c r="I99" s="24">
        <f>Calculation!J81</f>
        <v>22044</v>
      </c>
      <c r="J99" s="6" t="str">
        <f t="shared" si="1"/>
        <v>High</v>
      </c>
    </row>
    <row r="100" spans="1:10" ht="15" customHeight="1">
      <c r="A100" s="7">
        <v>81</v>
      </c>
      <c r="B100" s="6" t="s">
        <v>426</v>
      </c>
      <c r="C100" s="7" t="s">
        <v>427</v>
      </c>
      <c r="D100" s="7" t="s">
        <v>405</v>
      </c>
      <c r="E100" s="39">
        <f>Calculation!D82</f>
        <v>71038</v>
      </c>
      <c r="F100" s="21">
        <f>Calculation!E82</f>
        <v>0.60540000000000005</v>
      </c>
      <c r="G100" s="22">
        <f>Calculation!F82</f>
        <v>0.33300000000000002</v>
      </c>
      <c r="H100" s="23">
        <f>Calculation!G82</f>
        <v>12.3</v>
      </c>
      <c r="I100" s="24">
        <f>Calculation!J82</f>
        <v>23654</v>
      </c>
      <c r="J100" s="6" t="str">
        <f t="shared" si="1"/>
        <v>High</v>
      </c>
    </row>
    <row r="101" spans="1:10" ht="15" customHeight="1">
      <c r="A101" s="7">
        <v>82</v>
      </c>
      <c r="B101" s="6" t="s">
        <v>428</v>
      </c>
      <c r="C101" s="7" t="s">
        <v>429</v>
      </c>
      <c r="D101" s="7" t="s">
        <v>405</v>
      </c>
      <c r="E101" s="39">
        <f>Calculation!D83</f>
        <v>71038</v>
      </c>
      <c r="F101" s="21">
        <f>Calculation!E83</f>
        <v>0.57010000000000005</v>
      </c>
      <c r="G101" s="22">
        <f>Calculation!F83</f>
        <v>0.31359999999999999</v>
      </c>
      <c r="H101" s="23">
        <f>Calculation!G83</f>
        <v>11.6</v>
      </c>
      <c r="I101" s="24">
        <f>Calculation!J83</f>
        <v>22274</v>
      </c>
      <c r="J101" s="6" t="str">
        <f t="shared" si="1"/>
        <v>High</v>
      </c>
    </row>
    <row r="102" spans="1:10" ht="15" customHeight="1">
      <c r="A102" s="7">
        <v>83</v>
      </c>
      <c r="B102" s="6" t="s">
        <v>430</v>
      </c>
      <c r="C102" s="7" t="s">
        <v>431</v>
      </c>
      <c r="D102" s="7" t="s">
        <v>405</v>
      </c>
      <c r="E102" s="39">
        <f>Calculation!D84</f>
        <v>71038</v>
      </c>
      <c r="F102" s="21">
        <f>Calculation!E84</f>
        <v>0.59519999999999995</v>
      </c>
      <c r="G102" s="22">
        <f>Calculation!F84</f>
        <v>0.32740000000000002</v>
      </c>
      <c r="H102" s="23">
        <f>Calculation!G84</f>
        <v>12.1</v>
      </c>
      <c r="I102" s="24">
        <f>Calculation!J84</f>
        <v>23255</v>
      </c>
      <c r="J102" s="6" t="str">
        <f t="shared" si="1"/>
        <v>High</v>
      </c>
    </row>
    <row r="103" spans="1:10" ht="15" customHeight="1">
      <c r="A103" s="7">
        <v>84</v>
      </c>
      <c r="B103" s="6" t="s">
        <v>432</v>
      </c>
      <c r="C103" s="7" t="s">
        <v>433</v>
      </c>
      <c r="D103" s="7" t="s">
        <v>405</v>
      </c>
      <c r="E103" s="39">
        <f>Calculation!D85</f>
        <v>71038</v>
      </c>
      <c r="F103" s="21">
        <f>Calculation!E85</f>
        <v>0.58030000000000004</v>
      </c>
      <c r="G103" s="22">
        <f>Calculation!F85</f>
        <v>0.31919999999999998</v>
      </c>
      <c r="H103" s="23">
        <f>Calculation!G85</f>
        <v>11.8</v>
      </c>
      <c r="I103" s="24">
        <f>Calculation!J85</f>
        <v>22673</v>
      </c>
      <c r="J103" s="6" t="str">
        <f t="shared" si="1"/>
        <v>High</v>
      </c>
    </row>
    <row r="104" spans="1:10" ht="15" customHeight="1">
      <c r="A104" s="7">
        <v>85</v>
      </c>
      <c r="B104" s="6" t="s">
        <v>434</v>
      </c>
      <c r="C104" s="7" t="s">
        <v>435</v>
      </c>
      <c r="D104" s="7" t="s">
        <v>405</v>
      </c>
      <c r="E104" s="39">
        <f>Calculation!D86</f>
        <v>71038</v>
      </c>
      <c r="F104" s="21">
        <f>Calculation!E86</f>
        <v>0.55400000000000005</v>
      </c>
      <c r="G104" s="22">
        <f>Calculation!F86</f>
        <v>0.30470000000000003</v>
      </c>
      <c r="H104" s="23">
        <f>Calculation!G86</f>
        <v>11.3</v>
      </c>
      <c r="I104" s="24">
        <f>Calculation!J86</f>
        <v>21645</v>
      </c>
      <c r="J104" s="6" t="str">
        <f t="shared" si="1"/>
        <v>High</v>
      </c>
    </row>
    <row r="105" spans="1:10" ht="15" customHeight="1">
      <c r="A105" s="7">
        <v>86</v>
      </c>
      <c r="B105" s="6" t="s">
        <v>436</v>
      </c>
      <c r="C105" s="7" t="s">
        <v>437</v>
      </c>
      <c r="D105" s="7" t="s">
        <v>405</v>
      </c>
      <c r="E105" s="39">
        <f>Calculation!D87</f>
        <v>71038</v>
      </c>
      <c r="F105" s="21">
        <f>Calculation!E87</f>
        <v>0.57389999999999997</v>
      </c>
      <c r="G105" s="22">
        <f>Calculation!F87</f>
        <v>0.31559999999999999</v>
      </c>
      <c r="H105" s="23">
        <f>Calculation!G87</f>
        <v>11.7</v>
      </c>
      <c r="I105" s="24">
        <f>Calculation!J87</f>
        <v>22423</v>
      </c>
      <c r="J105" s="6" t="str">
        <f t="shared" si="1"/>
        <v>High</v>
      </c>
    </row>
    <row r="106" spans="1:10" ht="15" customHeight="1">
      <c r="A106" s="7">
        <v>87</v>
      </c>
      <c r="B106" s="6" t="s">
        <v>438</v>
      </c>
      <c r="C106" s="7" t="s">
        <v>439</v>
      </c>
      <c r="D106" s="7" t="s">
        <v>405</v>
      </c>
      <c r="E106" s="39">
        <f>Calculation!D88</f>
        <v>71038</v>
      </c>
      <c r="F106" s="21">
        <f>Calculation!E88</f>
        <v>0.55530000000000002</v>
      </c>
      <c r="G106" s="22">
        <f>Calculation!F88</f>
        <v>0.3054</v>
      </c>
      <c r="H106" s="23">
        <f>Calculation!G88</f>
        <v>11.3</v>
      </c>
      <c r="I106" s="24">
        <f>Calculation!J88</f>
        <v>21696</v>
      </c>
      <c r="J106" s="6" t="str">
        <f t="shared" si="1"/>
        <v>High</v>
      </c>
    </row>
    <row r="107" spans="1:10" ht="15" customHeight="1">
      <c r="A107" s="7">
        <v>88</v>
      </c>
      <c r="B107" s="6" t="s">
        <v>440</v>
      </c>
      <c r="C107" s="7" t="s">
        <v>441</v>
      </c>
      <c r="D107" s="7" t="s">
        <v>405</v>
      </c>
      <c r="E107" s="39">
        <f>Calculation!D89</f>
        <v>71038</v>
      </c>
      <c r="F107" s="21">
        <f>Calculation!E89</f>
        <v>0.66069999999999995</v>
      </c>
      <c r="G107" s="22">
        <f>Calculation!F89</f>
        <v>0.3634</v>
      </c>
      <c r="H107" s="23">
        <f>Calculation!G89</f>
        <v>13.4</v>
      </c>
      <c r="I107" s="24">
        <f>Calculation!J89</f>
        <v>25814</v>
      </c>
      <c r="J107" s="6" t="str">
        <f t="shared" si="1"/>
        <v>Transformative</v>
      </c>
    </row>
    <row r="108" spans="1:10" ht="15" customHeight="1">
      <c r="A108" s="7">
        <v>89</v>
      </c>
      <c r="B108" s="6" t="s">
        <v>442</v>
      </c>
      <c r="C108" s="7" t="s">
        <v>443</v>
      </c>
      <c r="D108" s="7" t="s">
        <v>405</v>
      </c>
      <c r="E108" s="39">
        <f>Calculation!D90</f>
        <v>71038</v>
      </c>
      <c r="F108" s="21">
        <f>Calculation!E90</f>
        <v>0.61229999999999996</v>
      </c>
      <c r="G108" s="22">
        <f>Calculation!F90</f>
        <v>0.33679999999999999</v>
      </c>
      <c r="H108" s="23">
        <f>Calculation!G90</f>
        <v>12.5</v>
      </c>
      <c r="I108" s="24">
        <f>Calculation!J90</f>
        <v>23923</v>
      </c>
      <c r="J108" s="6" t="str">
        <f t="shared" si="1"/>
        <v>High</v>
      </c>
    </row>
    <row r="109" spans="1:10" ht="15" customHeight="1">
      <c r="A109" s="7">
        <v>90</v>
      </c>
      <c r="B109" s="6" t="s">
        <v>444</v>
      </c>
      <c r="C109" s="7" t="s">
        <v>445</v>
      </c>
      <c r="D109" s="7" t="s">
        <v>405</v>
      </c>
      <c r="E109" s="39">
        <f>Calculation!D91</f>
        <v>71038</v>
      </c>
      <c r="F109" s="21">
        <f>Calculation!E91</f>
        <v>0.56179999999999997</v>
      </c>
      <c r="G109" s="22">
        <f>Calculation!F91</f>
        <v>0.309</v>
      </c>
      <c r="H109" s="23">
        <f>Calculation!G91</f>
        <v>11.4</v>
      </c>
      <c r="I109" s="24">
        <f>Calculation!J91</f>
        <v>21950</v>
      </c>
      <c r="J109" s="6" t="str">
        <f t="shared" si="1"/>
        <v>High</v>
      </c>
    </row>
    <row r="110" spans="1:10" ht="15" customHeight="1">
      <c r="A110" s="7">
        <v>91</v>
      </c>
      <c r="B110" s="6" t="s">
        <v>446</v>
      </c>
      <c r="C110" s="7" t="s">
        <v>447</v>
      </c>
      <c r="D110" s="7" t="s">
        <v>405</v>
      </c>
      <c r="E110" s="39">
        <f>Calculation!D92</f>
        <v>71038</v>
      </c>
      <c r="F110" s="21">
        <f>Calculation!E92</f>
        <v>0.52270000000000005</v>
      </c>
      <c r="G110" s="22">
        <f>Calculation!F92</f>
        <v>0.28749999999999998</v>
      </c>
      <c r="H110" s="23">
        <f>Calculation!G92</f>
        <v>10.6</v>
      </c>
      <c r="I110" s="24">
        <f>Calculation!J92</f>
        <v>20422</v>
      </c>
      <c r="J110" s="6" t="str">
        <f t="shared" si="1"/>
        <v>High</v>
      </c>
    </row>
    <row r="111" spans="1:10" ht="15" customHeight="1">
      <c r="A111" s="7">
        <v>92</v>
      </c>
      <c r="B111" s="6" t="s">
        <v>448</v>
      </c>
      <c r="C111" s="7" t="s">
        <v>449</v>
      </c>
      <c r="D111" s="7" t="s">
        <v>405</v>
      </c>
      <c r="E111" s="39">
        <f>Calculation!D93</f>
        <v>71038</v>
      </c>
      <c r="F111" s="21">
        <f>Calculation!E93</f>
        <v>0.71499999999999997</v>
      </c>
      <c r="G111" s="22">
        <f>Calculation!F93</f>
        <v>0.39319999999999999</v>
      </c>
      <c r="H111" s="23">
        <f>Calculation!G93</f>
        <v>14.6</v>
      </c>
      <c r="I111" s="24">
        <f>Calculation!J93</f>
        <v>27936</v>
      </c>
      <c r="J111" s="6" t="str">
        <f t="shared" si="1"/>
        <v>Transformative</v>
      </c>
    </row>
    <row r="112" spans="1:10" ht="15" customHeight="1">
      <c r="A112" s="7">
        <v>93</v>
      </c>
      <c r="B112" s="6" t="s">
        <v>450</v>
      </c>
      <c r="C112" s="7" t="s">
        <v>451</v>
      </c>
      <c r="D112" s="7" t="s">
        <v>405</v>
      </c>
      <c r="E112" s="39">
        <f>Calculation!D94</f>
        <v>71038</v>
      </c>
      <c r="F112" s="21">
        <f>Calculation!E94</f>
        <v>0.71240000000000003</v>
      </c>
      <c r="G112" s="22">
        <f>Calculation!F94</f>
        <v>0.39179999999999998</v>
      </c>
      <c r="H112" s="23">
        <f>Calculation!G94</f>
        <v>14.5</v>
      </c>
      <c r="I112" s="24">
        <f>Calculation!J94</f>
        <v>27834</v>
      </c>
      <c r="J112" s="6" t="str">
        <f t="shared" si="1"/>
        <v>Transformative</v>
      </c>
    </row>
    <row r="113" spans="1:10" ht="15" customHeight="1">
      <c r="A113" s="7">
        <v>94</v>
      </c>
      <c r="B113" s="6" t="s">
        <v>452</v>
      </c>
      <c r="C113" s="7" t="s">
        <v>453</v>
      </c>
      <c r="D113" s="7" t="s">
        <v>405</v>
      </c>
      <c r="E113" s="39">
        <f>Calculation!D95</f>
        <v>71038</v>
      </c>
      <c r="F113" s="21">
        <f>Calculation!E95</f>
        <v>0.51819999999999999</v>
      </c>
      <c r="G113" s="22">
        <f>Calculation!F95</f>
        <v>0.28499999999999998</v>
      </c>
      <c r="H113" s="23">
        <f>Calculation!G95</f>
        <v>10.5</v>
      </c>
      <c r="I113" s="24">
        <f>Calculation!J95</f>
        <v>20247</v>
      </c>
      <c r="J113" s="6" t="str">
        <f t="shared" si="1"/>
        <v>High</v>
      </c>
    </row>
    <row r="114" spans="1:10" ht="15" customHeight="1">
      <c r="A114" s="7">
        <v>95</v>
      </c>
      <c r="B114" s="6" t="s">
        <v>454</v>
      </c>
      <c r="C114" s="7" t="s">
        <v>455</v>
      </c>
      <c r="D114" s="7" t="s">
        <v>405</v>
      </c>
      <c r="E114" s="39">
        <f>Calculation!D96</f>
        <v>71038</v>
      </c>
      <c r="F114" s="21">
        <f>Calculation!E96</f>
        <v>0.58330000000000004</v>
      </c>
      <c r="G114" s="22">
        <f>Calculation!F96</f>
        <v>0.32079999999999997</v>
      </c>
      <c r="H114" s="23">
        <f>Calculation!G96</f>
        <v>11.9</v>
      </c>
      <c r="I114" s="24">
        <f>Calculation!J96</f>
        <v>22790</v>
      </c>
      <c r="J114" s="6" t="str">
        <f t="shared" si="1"/>
        <v>High</v>
      </c>
    </row>
    <row r="115" spans="1:10" ht="15" customHeight="1">
      <c r="A115" s="7">
        <v>96</v>
      </c>
      <c r="B115" s="6" t="s">
        <v>456</v>
      </c>
      <c r="C115" s="7" t="s">
        <v>457</v>
      </c>
      <c r="D115" s="7" t="s">
        <v>458</v>
      </c>
      <c r="E115" s="39">
        <f>Calculation!D97</f>
        <v>155636</v>
      </c>
      <c r="F115" s="21">
        <f>Calculation!E97</f>
        <v>0.74680000000000002</v>
      </c>
      <c r="G115" s="22">
        <f>Calculation!F97</f>
        <v>0.43309999999999998</v>
      </c>
      <c r="H115" s="23">
        <f>Calculation!G97</f>
        <v>16</v>
      </c>
      <c r="I115" s="24">
        <f>Calculation!J97</f>
        <v>67413</v>
      </c>
      <c r="J115" s="6" t="str">
        <f t="shared" si="1"/>
        <v>Transformative</v>
      </c>
    </row>
    <row r="116" spans="1:10" ht="15" customHeight="1">
      <c r="A116" s="7">
        <v>97</v>
      </c>
      <c r="B116" s="6" t="s">
        <v>459</v>
      </c>
      <c r="C116" s="7" t="s">
        <v>460</v>
      </c>
      <c r="D116" s="7" t="s">
        <v>458</v>
      </c>
      <c r="E116" s="39">
        <f>Calculation!D98</f>
        <v>155636</v>
      </c>
      <c r="F116" s="21">
        <f>Calculation!E98</f>
        <v>0.69499999999999995</v>
      </c>
      <c r="G116" s="22">
        <f>Calculation!F98</f>
        <v>0.40310000000000001</v>
      </c>
      <c r="H116" s="23">
        <f>Calculation!G98</f>
        <v>14.9</v>
      </c>
      <c r="I116" s="24">
        <f>Calculation!J98</f>
        <v>62737</v>
      </c>
      <c r="J116" s="6" t="str">
        <f t="shared" si="1"/>
        <v>Transformative</v>
      </c>
    </row>
    <row r="117" spans="1:10" ht="15" customHeight="1">
      <c r="A117" s="7">
        <v>98</v>
      </c>
      <c r="B117" s="6" t="s">
        <v>461</v>
      </c>
      <c r="C117" s="7" t="s">
        <v>462</v>
      </c>
      <c r="D117" s="7" t="s">
        <v>458</v>
      </c>
      <c r="E117" s="39">
        <f>Calculation!D99</f>
        <v>155636</v>
      </c>
      <c r="F117" s="21">
        <f>Calculation!E99</f>
        <v>0.69069999999999998</v>
      </c>
      <c r="G117" s="22">
        <f>Calculation!F99</f>
        <v>0.40060000000000001</v>
      </c>
      <c r="H117" s="23">
        <f>Calculation!G99</f>
        <v>14.8</v>
      </c>
      <c r="I117" s="24">
        <f>Calculation!J99</f>
        <v>62349</v>
      </c>
      <c r="J117" s="6" t="str">
        <f t="shared" si="1"/>
        <v>Transformative</v>
      </c>
    </row>
    <row r="118" spans="1:10" ht="15" customHeight="1">
      <c r="A118" s="7">
        <v>99</v>
      </c>
      <c r="B118" s="6" t="s">
        <v>463</v>
      </c>
      <c r="C118" s="7" t="s">
        <v>464</v>
      </c>
      <c r="D118" s="7" t="s">
        <v>458</v>
      </c>
      <c r="E118" s="39">
        <f>Calculation!D100</f>
        <v>155636</v>
      </c>
      <c r="F118" s="21">
        <f>Calculation!E100</f>
        <v>0.68049999999999999</v>
      </c>
      <c r="G118" s="22">
        <f>Calculation!F100</f>
        <v>0.3947</v>
      </c>
      <c r="H118" s="23">
        <f>Calculation!G100</f>
        <v>14.6</v>
      </c>
      <c r="I118" s="24">
        <f>Calculation!J100</f>
        <v>61428</v>
      </c>
      <c r="J118" s="6" t="str">
        <f t="shared" si="1"/>
        <v>Transformative</v>
      </c>
    </row>
    <row r="119" spans="1:10" ht="15" customHeight="1">
      <c r="A119" s="7">
        <v>100</v>
      </c>
      <c r="B119" s="6" t="s">
        <v>465</v>
      </c>
      <c r="C119" s="7" t="s">
        <v>466</v>
      </c>
      <c r="D119" s="7" t="s">
        <v>458</v>
      </c>
      <c r="E119" s="39">
        <f>Calculation!D101</f>
        <v>155636</v>
      </c>
      <c r="F119" s="21">
        <f>Calculation!E101</f>
        <v>0.60350000000000004</v>
      </c>
      <c r="G119" s="22">
        <f>Calculation!F101</f>
        <v>0.35</v>
      </c>
      <c r="H119" s="23">
        <f>Calculation!G101</f>
        <v>13</v>
      </c>
      <c r="I119" s="24">
        <f>Calculation!J101</f>
        <v>54477</v>
      </c>
      <c r="J119" s="6" t="str">
        <f t="shared" si="1"/>
        <v>Transformative</v>
      </c>
    </row>
    <row r="120" spans="1:10" ht="15" customHeight="1">
      <c r="A120" s="7">
        <v>101</v>
      </c>
      <c r="B120" s="6" t="s">
        <v>467</v>
      </c>
      <c r="C120" s="7" t="s">
        <v>468</v>
      </c>
      <c r="D120" s="7" t="s">
        <v>458</v>
      </c>
      <c r="E120" s="39">
        <f>Calculation!D102</f>
        <v>155636</v>
      </c>
      <c r="F120" s="21">
        <f>Calculation!E102</f>
        <v>0.67200000000000004</v>
      </c>
      <c r="G120" s="22">
        <f>Calculation!F102</f>
        <v>0.38979999999999998</v>
      </c>
      <c r="H120" s="23">
        <f>Calculation!G102</f>
        <v>14.4</v>
      </c>
      <c r="I120" s="24">
        <f>Calculation!J102</f>
        <v>60661</v>
      </c>
      <c r="J120" s="6" t="str">
        <f t="shared" si="1"/>
        <v>Transformative</v>
      </c>
    </row>
    <row r="121" spans="1:10" ht="15" customHeight="1">
      <c r="A121" s="7">
        <v>102</v>
      </c>
      <c r="B121" s="6" t="s">
        <v>469</v>
      </c>
      <c r="C121" s="7" t="s">
        <v>470</v>
      </c>
      <c r="D121" s="7" t="s">
        <v>458</v>
      </c>
      <c r="E121" s="39">
        <f>Calculation!D103</f>
        <v>155636</v>
      </c>
      <c r="F121" s="21">
        <f>Calculation!E103</f>
        <v>0.7278</v>
      </c>
      <c r="G121" s="22">
        <f>Calculation!F103</f>
        <v>0.42209999999999998</v>
      </c>
      <c r="H121" s="23">
        <f>Calculation!G103</f>
        <v>15.6</v>
      </c>
      <c r="I121" s="24">
        <f>Calculation!J103</f>
        <v>65698</v>
      </c>
      <c r="J121" s="6" t="str">
        <f t="shared" si="1"/>
        <v>Transformative</v>
      </c>
    </row>
    <row r="122" spans="1:10" ht="15" customHeight="1">
      <c r="A122" s="7">
        <v>103</v>
      </c>
      <c r="B122" s="6" t="s">
        <v>471</v>
      </c>
      <c r="C122" s="7" t="s">
        <v>472</v>
      </c>
      <c r="D122" s="7" t="s">
        <v>458</v>
      </c>
      <c r="E122" s="39">
        <f>Calculation!D104</f>
        <v>155636</v>
      </c>
      <c r="F122" s="21">
        <f>Calculation!E104</f>
        <v>0.68340000000000001</v>
      </c>
      <c r="G122" s="22">
        <f>Calculation!F104</f>
        <v>0.39639999999999997</v>
      </c>
      <c r="H122" s="23">
        <f>Calculation!G104</f>
        <v>14.7</v>
      </c>
      <c r="I122" s="24">
        <f>Calculation!J104</f>
        <v>61690</v>
      </c>
      <c r="J122" s="6" t="str">
        <f t="shared" si="1"/>
        <v>Transformative</v>
      </c>
    </row>
    <row r="123" spans="1:10" ht="15" customHeight="1">
      <c r="A123" s="7">
        <v>104</v>
      </c>
      <c r="B123" s="6" t="s">
        <v>473</v>
      </c>
      <c r="C123" s="7" t="s">
        <v>474</v>
      </c>
      <c r="D123" s="7" t="s">
        <v>458</v>
      </c>
      <c r="E123" s="39">
        <f>Calculation!D105</f>
        <v>155636</v>
      </c>
      <c r="F123" s="21">
        <f>Calculation!E105</f>
        <v>0.62090000000000001</v>
      </c>
      <c r="G123" s="22">
        <f>Calculation!F105</f>
        <v>0.36009999999999998</v>
      </c>
      <c r="H123" s="23">
        <f>Calculation!G105</f>
        <v>13.3</v>
      </c>
      <c r="I123" s="24">
        <f>Calculation!J105</f>
        <v>56048</v>
      </c>
      <c r="J123" s="6" t="str">
        <f t="shared" si="1"/>
        <v>Transformative</v>
      </c>
    </row>
    <row r="124" spans="1:10" ht="15" customHeight="1">
      <c r="A124" s="7">
        <v>105</v>
      </c>
      <c r="B124" s="6" t="s">
        <v>475</v>
      </c>
      <c r="C124" s="7" t="s">
        <v>476</v>
      </c>
      <c r="D124" s="7" t="s">
        <v>458</v>
      </c>
      <c r="E124" s="39">
        <f>Calculation!D106</f>
        <v>155636</v>
      </c>
      <c r="F124" s="21">
        <f>Calculation!E106</f>
        <v>0.60819999999999996</v>
      </c>
      <c r="G124" s="22">
        <f>Calculation!F106</f>
        <v>0.3528</v>
      </c>
      <c r="H124" s="23">
        <f>Calculation!G106</f>
        <v>13.1</v>
      </c>
      <c r="I124" s="24">
        <f>Calculation!J106</f>
        <v>54902</v>
      </c>
      <c r="J124" s="6" t="str">
        <f t="shared" si="1"/>
        <v>Transformative</v>
      </c>
    </row>
    <row r="125" spans="1:10" ht="15" customHeight="1">
      <c r="A125" s="7">
        <v>106</v>
      </c>
      <c r="B125" s="6" t="s">
        <v>477</v>
      </c>
      <c r="C125" s="7" t="s">
        <v>478</v>
      </c>
      <c r="D125" s="7" t="s">
        <v>458</v>
      </c>
      <c r="E125" s="39">
        <f>Calculation!D107</f>
        <v>155636</v>
      </c>
      <c r="F125" s="21">
        <f>Calculation!E107</f>
        <v>0.66949999999999998</v>
      </c>
      <c r="G125" s="22">
        <f>Calculation!F107</f>
        <v>0.38829999999999998</v>
      </c>
      <c r="H125" s="23">
        <f>Calculation!G107</f>
        <v>14.4</v>
      </c>
      <c r="I125" s="24">
        <f>Calculation!J107</f>
        <v>60435</v>
      </c>
      <c r="J125" s="6" t="str">
        <f t="shared" si="1"/>
        <v>Transformative</v>
      </c>
    </row>
    <row r="126" spans="1:10" ht="15" customHeight="1">
      <c r="A126" s="7">
        <v>107</v>
      </c>
      <c r="B126" s="6" t="s">
        <v>479</v>
      </c>
      <c r="C126" s="7" t="s">
        <v>480</v>
      </c>
      <c r="D126" s="7" t="s">
        <v>481</v>
      </c>
      <c r="E126" s="39">
        <f>Calculation!D108</f>
        <v>77065</v>
      </c>
      <c r="F126" s="21">
        <f>Calculation!E108</f>
        <v>0.74960000000000004</v>
      </c>
      <c r="G126" s="22">
        <f>Calculation!F108</f>
        <v>0.37480000000000002</v>
      </c>
      <c r="H126" s="23">
        <f>Calculation!G108</f>
        <v>13.9</v>
      </c>
      <c r="I126" s="24">
        <f>Calculation!J108</f>
        <v>28884</v>
      </c>
      <c r="J126" s="6" t="str">
        <f t="shared" si="1"/>
        <v>Transformative</v>
      </c>
    </row>
    <row r="127" spans="1:10" ht="15" customHeight="1">
      <c r="A127" s="7">
        <v>108</v>
      </c>
      <c r="B127" s="6" t="s">
        <v>482</v>
      </c>
      <c r="C127" s="7" t="s">
        <v>483</v>
      </c>
      <c r="D127" s="7" t="s">
        <v>481</v>
      </c>
      <c r="E127" s="39">
        <f>Calculation!D109</f>
        <v>77065</v>
      </c>
      <c r="F127" s="21">
        <f>Calculation!E109</f>
        <v>0.75670000000000004</v>
      </c>
      <c r="G127" s="22">
        <f>Calculation!F109</f>
        <v>0.37840000000000001</v>
      </c>
      <c r="H127" s="23">
        <f>Calculation!G109</f>
        <v>14</v>
      </c>
      <c r="I127" s="24">
        <f>Calculation!J109</f>
        <v>29158</v>
      </c>
      <c r="J127" s="6" t="str">
        <f t="shared" si="1"/>
        <v>Transformative</v>
      </c>
    </row>
    <row r="128" spans="1:10" ht="15" customHeight="1">
      <c r="A128" s="7">
        <v>109</v>
      </c>
      <c r="B128" s="6" t="s">
        <v>484</v>
      </c>
      <c r="C128" s="7" t="s">
        <v>485</v>
      </c>
      <c r="D128" s="7" t="s">
        <v>481</v>
      </c>
      <c r="E128" s="39">
        <f>Calculation!D110</f>
        <v>77065</v>
      </c>
      <c r="F128" s="21">
        <f>Calculation!E110</f>
        <v>0.74519999999999997</v>
      </c>
      <c r="G128" s="22">
        <f>Calculation!F110</f>
        <v>0.37259999999999999</v>
      </c>
      <c r="H128" s="23">
        <f>Calculation!G110</f>
        <v>13.8</v>
      </c>
      <c r="I128" s="24">
        <f>Calculation!J110</f>
        <v>28714</v>
      </c>
      <c r="J128" s="6" t="str">
        <f t="shared" si="1"/>
        <v>Transformative</v>
      </c>
    </row>
    <row r="129" spans="1:10" ht="15" customHeight="1">
      <c r="A129" s="7">
        <v>110</v>
      </c>
      <c r="B129" s="6" t="s">
        <v>486</v>
      </c>
      <c r="C129" s="7" t="s">
        <v>487</v>
      </c>
      <c r="D129" s="7" t="s">
        <v>481</v>
      </c>
      <c r="E129" s="39">
        <f>Calculation!D111</f>
        <v>77065</v>
      </c>
      <c r="F129" s="21">
        <f>Calculation!E111</f>
        <v>0.746</v>
      </c>
      <c r="G129" s="22">
        <f>Calculation!F111</f>
        <v>0.373</v>
      </c>
      <c r="H129" s="23">
        <f>Calculation!G111</f>
        <v>13.8</v>
      </c>
      <c r="I129" s="24">
        <f>Calculation!J111</f>
        <v>28745</v>
      </c>
      <c r="J129" s="6" t="str">
        <f t="shared" si="1"/>
        <v>Transformative</v>
      </c>
    </row>
    <row r="130" spans="1:10" ht="15" customHeight="1">
      <c r="A130" s="7">
        <v>111</v>
      </c>
      <c r="B130" s="6" t="s">
        <v>488</v>
      </c>
      <c r="C130" s="7" t="s">
        <v>489</v>
      </c>
      <c r="D130" s="7" t="s">
        <v>481</v>
      </c>
      <c r="E130" s="39">
        <f>Calculation!D112</f>
        <v>77065</v>
      </c>
      <c r="F130" s="21">
        <f>Calculation!E112</f>
        <v>0.77839999999999998</v>
      </c>
      <c r="G130" s="22">
        <f>Calculation!F112</f>
        <v>0.38919999999999999</v>
      </c>
      <c r="H130" s="23">
        <f>Calculation!G112</f>
        <v>14.4</v>
      </c>
      <c r="I130" s="24">
        <f>Calculation!J112</f>
        <v>29994</v>
      </c>
      <c r="J130" s="6" t="str">
        <f t="shared" si="1"/>
        <v>Transformative</v>
      </c>
    </row>
    <row r="131" spans="1:10" ht="15" customHeight="1">
      <c r="A131" s="7">
        <v>112</v>
      </c>
      <c r="B131" s="6" t="s">
        <v>490</v>
      </c>
      <c r="C131" s="7" t="s">
        <v>491</v>
      </c>
      <c r="D131" s="7" t="s">
        <v>481</v>
      </c>
      <c r="E131" s="39">
        <f>Calculation!D113</f>
        <v>77065</v>
      </c>
      <c r="F131" s="21">
        <f>Calculation!E113</f>
        <v>0.77669999999999995</v>
      </c>
      <c r="G131" s="22">
        <f>Calculation!F113</f>
        <v>0.38840000000000002</v>
      </c>
      <c r="H131" s="23">
        <f>Calculation!G113</f>
        <v>14.4</v>
      </c>
      <c r="I131" s="24">
        <f>Calculation!J113</f>
        <v>29928</v>
      </c>
      <c r="J131" s="6" t="str">
        <f t="shared" si="1"/>
        <v>Transformative</v>
      </c>
    </row>
    <row r="132" spans="1:10" ht="15" customHeight="1">
      <c r="A132" s="7">
        <v>113</v>
      </c>
      <c r="B132" s="6" t="s">
        <v>492</v>
      </c>
      <c r="C132" s="7" t="s">
        <v>493</v>
      </c>
      <c r="D132" s="7" t="s">
        <v>481</v>
      </c>
      <c r="E132" s="39">
        <f>Calculation!D114</f>
        <v>77065</v>
      </c>
      <c r="F132" s="21">
        <f>Calculation!E114</f>
        <v>0.75439999999999996</v>
      </c>
      <c r="G132" s="22">
        <f>Calculation!F114</f>
        <v>0.37719999999999998</v>
      </c>
      <c r="H132" s="23">
        <f>Calculation!G114</f>
        <v>14</v>
      </c>
      <c r="I132" s="24">
        <f>Calculation!J114</f>
        <v>29069</v>
      </c>
      <c r="J132" s="6" t="str">
        <f t="shared" si="1"/>
        <v>Transformative</v>
      </c>
    </row>
    <row r="133" spans="1:10" ht="15" customHeight="1">
      <c r="A133" s="7">
        <v>114</v>
      </c>
      <c r="B133" s="6" t="s">
        <v>494</v>
      </c>
      <c r="C133" s="7" t="s">
        <v>495</v>
      </c>
      <c r="D133" s="7" t="s">
        <v>481</v>
      </c>
      <c r="E133" s="39">
        <f>Calculation!D115</f>
        <v>77065</v>
      </c>
      <c r="F133" s="21">
        <f>Calculation!E115</f>
        <v>0.69550000000000001</v>
      </c>
      <c r="G133" s="22">
        <f>Calculation!F115</f>
        <v>0.3478</v>
      </c>
      <c r="H133" s="23">
        <f>Calculation!G115</f>
        <v>12.9</v>
      </c>
      <c r="I133" s="24">
        <f>Calculation!J115</f>
        <v>26799</v>
      </c>
      <c r="J133" s="6" t="str">
        <f t="shared" si="1"/>
        <v>High</v>
      </c>
    </row>
    <row r="134" spans="1:10" ht="15" customHeight="1">
      <c r="A134" s="7">
        <v>115</v>
      </c>
      <c r="B134" s="6" t="s">
        <v>496</v>
      </c>
      <c r="C134" s="7" t="s">
        <v>497</v>
      </c>
      <c r="D134" s="7" t="s">
        <v>481</v>
      </c>
      <c r="E134" s="39">
        <f>Calculation!D116</f>
        <v>77065</v>
      </c>
      <c r="F134" s="21">
        <f>Calculation!E116</f>
        <v>0.71260000000000001</v>
      </c>
      <c r="G134" s="22">
        <f>Calculation!F116</f>
        <v>0.35630000000000001</v>
      </c>
      <c r="H134" s="23">
        <f>Calculation!G116</f>
        <v>13.2</v>
      </c>
      <c r="I134" s="24">
        <f>Calculation!J116</f>
        <v>27458</v>
      </c>
      <c r="J134" s="6" t="str">
        <f t="shared" si="1"/>
        <v>Transformative</v>
      </c>
    </row>
    <row r="135" spans="1:10" ht="15" customHeight="1">
      <c r="A135" s="7">
        <v>116</v>
      </c>
      <c r="B135" s="6" t="s">
        <v>498</v>
      </c>
      <c r="C135" s="7" t="s">
        <v>499</v>
      </c>
      <c r="D135" s="7" t="s">
        <v>481</v>
      </c>
      <c r="E135" s="39">
        <f>Calculation!D117</f>
        <v>77065</v>
      </c>
      <c r="F135" s="21">
        <f>Calculation!E117</f>
        <v>0.69430000000000003</v>
      </c>
      <c r="G135" s="22">
        <f>Calculation!F117</f>
        <v>0.34710000000000002</v>
      </c>
      <c r="H135" s="23">
        <f>Calculation!G117</f>
        <v>12.8</v>
      </c>
      <c r="I135" s="24">
        <f>Calculation!J117</f>
        <v>26753</v>
      </c>
      <c r="J135" s="6" t="str">
        <f t="shared" si="1"/>
        <v>High</v>
      </c>
    </row>
    <row r="136" spans="1:10" ht="15" customHeight="1">
      <c r="A136" s="7">
        <v>117</v>
      </c>
      <c r="B136" s="6" t="s">
        <v>500</v>
      </c>
      <c r="C136" s="7" t="s">
        <v>501</v>
      </c>
      <c r="D136" s="7" t="s">
        <v>481</v>
      </c>
      <c r="E136" s="39">
        <f>Calculation!D118</f>
        <v>77065</v>
      </c>
      <c r="F136" s="21">
        <f>Calculation!E118</f>
        <v>0.70950000000000002</v>
      </c>
      <c r="G136" s="22">
        <f>Calculation!F118</f>
        <v>0.3548</v>
      </c>
      <c r="H136" s="23">
        <f>Calculation!G118</f>
        <v>13.1</v>
      </c>
      <c r="I136" s="24">
        <f>Calculation!J118</f>
        <v>27339</v>
      </c>
      <c r="J136" s="6" t="str">
        <f t="shared" si="1"/>
        <v>Transformative</v>
      </c>
    </row>
    <row r="137" spans="1:10" ht="15" customHeight="1">
      <c r="A137" s="7">
        <v>118</v>
      </c>
      <c r="B137" s="6" t="s">
        <v>502</v>
      </c>
      <c r="C137" s="7" t="s">
        <v>503</v>
      </c>
      <c r="D137" s="7" t="s">
        <v>481</v>
      </c>
      <c r="E137" s="39">
        <f>Calculation!D119</f>
        <v>77065</v>
      </c>
      <c r="F137" s="21">
        <f>Calculation!E119</f>
        <v>0.78239999999999998</v>
      </c>
      <c r="G137" s="22">
        <f>Calculation!F119</f>
        <v>0.39119999999999999</v>
      </c>
      <c r="H137" s="23">
        <f>Calculation!G119</f>
        <v>14.5</v>
      </c>
      <c r="I137" s="24">
        <f>Calculation!J119</f>
        <v>30148</v>
      </c>
      <c r="J137" s="6" t="str">
        <f t="shared" si="1"/>
        <v>Transformative</v>
      </c>
    </row>
    <row r="138" spans="1:10" ht="15" customHeight="1">
      <c r="A138" s="7">
        <v>119</v>
      </c>
      <c r="B138" s="6" t="s">
        <v>504</v>
      </c>
      <c r="C138" s="7" t="s">
        <v>505</v>
      </c>
      <c r="D138" s="7" t="s">
        <v>481</v>
      </c>
      <c r="E138" s="39">
        <f>Calculation!D120</f>
        <v>77065</v>
      </c>
      <c r="F138" s="21">
        <f>Calculation!E120</f>
        <v>0.6774</v>
      </c>
      <c r="G138" s="22">
        <f>Calculation!F120</f>
        <v>0.3387</v>
      </c>
      <c r="H138" s="23">
        <f>Calculation!G120</f>
        <v>12.5</v>
      </c>
      <c r="I138" s="24">
        <f>Calculation!J120</f>
        <v>26102</v>
      </c>
      <c r="J138" s="6" t="str">
        <f t="shared" si="1"/>
        <v>High</v>
      </c>
    </row>
    <row r="139" spans="1:10" ht="15" customHeight="1">
      <c r="A139" s="7">
        <v>120</v>
      </c>
      <c r="B139" s="6" t="s">
        <v>506</v>
      </c>
      <c r="C139" s="7" t="s">
        <v>507</v>
      </c>
      <c r="D139" s="7" t="s">
        <v>481</v>
      </c>
      <c r="E139" s="39">
        <f>Calculation!D121</f>
        <v>77065</v>
      </c>
      <c r="F139" s="21">
        <f>Calculation!E121</f>
        <v>0.70009999999999994</v>
      </c>
      <c r="G139" s="22">
        <f>Calculation!F121</f>
        <v>0.35010000000000002</v>
      </c>
      <c r="H139" s="23">
        <f>Calculation!G121</f>
        <v>13</v>
      </c>
      <c r="I139" s="24">
        <f>Calculation!J121</f>
        <v>26977</v>
      </c>
      <c r="J139" s="6" t="str">
        <f t="shared" si="1"/>
        <v>Transformative</v>
      </c>
    </row>
    <row r="140" spans="1:10" ht="15" customHeight="1">
      <c r="A140" s="7">
        <v>121</v>
      </c>
      <c r="B140" s="6" t="s">
        <v>508</v>
      </c>
      <c r="C140" s="7" t="s">
        <v>495</v>
      </c>
      <c r="D140" s="7" t="s">
        <v>481</v>
      </c>
      <c r="E140" s="39">
        <f>Calculation!D122</f>
        <v>77065</v>
      </c>
      <c r="F140" s="21">
        <f>Calculation!E122</f>
        <v>0.69550000000000001</v>
      </c>
      <c r="G140" s="22">
        <f>Calculation!F122</f>
        <v>0.3478</v>
      </c>
      <c r="H140" s="23">
        <f>Calculation!G122</f>
        <v>12.9</v>
      </c>
      <c r="I140" s="24">
        <f>Calculation!J122</f>
        <v>26799</v>
      </c>
      <c r="J140" s="6" t="str">
        <f t="shared" si="1"/>
        <v>High</v>
      </c>
    </row>
    <row r="141" spans="1:10" ht="15" customHeight="1">
      <c r="A141" s="7">
        <v>122</v>
      </c>
      <c r="B141" s="6" t="s">
        <v>509</v>
      </c>
      <c r="C141" s="7" t="s">
        <v>510</v>
      </c>
      <c r="D141" s="7" t="s">
        <v>481</v>
      </c>
      <c r="E141" s="39">
        <f>Calculation!D123</f>
        <v>77065</v>
      </c>
      <c r="F141" s="21">
        <f>Calculation!E123</f>
        <v>0.754</v>
      </c>
      <c r="G141" s="22">
        <f>Calculation!F123</f>
        <v>0.377</v>
      </c>
      <c r="H141" s="23">
        <f>Calculation!G123</f>
        <v>13.9</v>
      </c>
      <c r="I141" s="24">
        <f>Calculation!J123</f>
        <v>29054</v>
      </c>
      <c r="J141" s="6" t="str">
        <f t="shared" si="1"/>
        <v>Transformative</v>
      </c>
    </row>
    <row r="142" spans="1:10" ht="15" customHeight="1">
      <c r="A142" s="7">
        <v>123</v>
      </c>
      <c r="B142" s="6" t="s">
        <v>511</v>
      </c>
      <c r="C142" s="7" t="s">
        <v>512</v>
      </c>
      <c r="D142" s="7" t="s">
        <v>481</v>
      </c>
      <c r="E142" s="39">
        <f>Calculation!D124</f>
        <v>77065</v>
      </c>
      <c r="F142" s="21">
        <f>Calculation!E124</f>
        <v>0.71919999999999995</v>
      </c>
      <c r="G142" s="22">
        <f>Calculation!F124</f>
        <v>0.35959999999999998</v>
      </c>
      <c r="H142" s="23">
        <f>Calculation!G124</f>
        <v>13.3</v>
      </c>
      <c r="I142" s="24">
        <f>Calculation!J124</f>
        <v>27713</v>
      </c>
      <c r="J142" s="6" t="str">
        <f t="shared" si="1"/>
        <v>Transformative</v>
      </c>
    </row>
    <row r="143" spans="1:10" ht="15" customHeight="1">
      <c r="A143" s="7">
        <v>124</v>
      </c>
      <c r="B143" s="6" t="s">
        <v>513</v>
      </c>
      <c r="C143" s="7" t="s">
        <v>514</v>
      </c>
      <c r="D143" s="7" t="s">
        <v>481</v>
      </c>
      <c r="E143" s="39">
        <f>Calculation!D125</f>
        <v>77065</v>
      </c>
      <c r="F143" s="21">
        <f>Calculation!E125</f>
        <v>0.75880000000000003</v>
      </c>
      <c r="G143" s="22">
        <f>Calculation!F125</f>
        <v>0.37940000000000002</v>
      </c>
      <c r="H143" s="23">
        <f>Calculation!G125</f>
        <v>14</v>
      </c>
      <c r="I143" s="24">
        <f>Calculation!J125</f>
        <v>29238</v>
      </c>
      <c r="J143" s="6" t="str">
        <f t="shared" si="1"/>
        <v>Transformative</v>
      </c>
    </row>
    <row r="144" spans="1:10" ht="15" customHeight="1">
      <c r="A144" s="7">
        <v>125</v>
      </c>
      <c r="B144" s="6" t="s">
        <v>515</v>
      </c>
      <c r="C144" s="7" t="s">
        <v>516</v>
      </c>
      <c r="D144" s="7" t="s">
        <v>481</v>
      </c>
      <c r="E144" s="39">
        <f>Calculation!D126</f>
        <v>77065</v>
      </c>
      <c r="F144" s="21">
        <f>Calculation!E126</f>
        <v>0.70540000000000003</v>
      </c>
      <c r="G144" s="22">
        <f>Calculation!F126</f>
        <v>0.35270000000000001</v>
      </c>
      <c r="H144" s="23">
        <f>Calculation!G126</f>
        <v>13</v>
      </c>
      <c r="I144" s="24">
        <f>Calculation!J126</f>
        <v>27181</v>
      </c>
      <c r="J144" s="6" t="str">
        <f t="shared" si="1"/>
        <v>Transformative</v>
      </c>
    </row>
    <row r="145" spans="1:10" ht="15" customHeight="1">
      <c r="A145" s="7">
        <v>126</v>
      </c>
      <c r="B145" s="6" t="s">
        <v>517</v>
      </c>
      <c r="C145" s="7" t="s">
        <v>518</v>
      </c>
      <c r="D145" s="7" t="s">
        <v>481</v>
      </c>
      <c r="E145" s="39">
        <f>Calculation!D127</f>
        <v>77065</v>
      </c>
      <c r="F145" s="21">
        <f>Calculation!E127</f>
        <v>0.63819999999999999</v>
      </c>
      <c r="G145" s="22">
        <f>Calculation!F127</f>
        <v>0.31909999999999999</v>
      </c>
      <c r="H145" s="23">
        <f>Calculation!G127</f>
        <v>11.8</v>
      </c>
      <c r="I145" s="24">
        <f>Calculation!J127</f>
        <v>24591</v>
      </c>
      <c r="J145" s="6" t="str">
        <f t="shared" si="1"/>
        <v>High</v>
      </c>
    </row>
    <row r="146" spans="1:10" ht="15" customHeight="1">
      <c r="A146" s="7">
        <v>127</v>
      </c>
      <c r="B146" s="6" t="s">
        <v>519</v>
      </c>
      <c r="C146" s="7" t="s">
        <v>520</v>
      </c>
      <c r="D146" s="7" t="s">
        <v>481</v>
      </c>
      <c r="E146" s="39">
        <f>Calculation!D128</f>
        <v>77065</v>
      </c>
      <c r="F146" s="21">
        <f>Calculation!E128</f>
        <v>0.6401</v>
      </c>
      <c r="G146" s="22">
        <f>Calculation!F128</f>
        <v>0.3201</v>
      </c>
      <c r="H146" s="23">
        <f>Calculation!G128</f>
        <v>11.8</v>
      </c>
      <c r="I146" s="24">
        <f>Calculation!J128</f>
        <v>24665</v>
      </c>
      <c r="J146" s="6" t="str">
        <f t="shared" si="1"/>
        <v>High</v>
      </c>
    </row>
    <row r="147" spans="1:10" ht="15" customHeight="1">
      <c r="A147" s="7">
        <v>128</v>
      </c>
      <c r="B147" s="6" t="s">
        <v>521</v>
      </c>
      <c r="C147" s="7" t="s">
        <v>522</v>
      </c>
      <c r="D147" s="7" t="s">
        <v>481</v>
      </c>
      <c r="E147" s="39">
        <f>Calculation!D129</f>
        <v>77065</v>
      </c>
      <c r="F147" s="21">
        <f>Calculation!E129</f>
        <v>0.63749999999999996</v>
      </c>
      <c r="G147" s="22">
        <f>Calculation!F129</f>
        <v>0.31869999999999998</v>
      </c>
      <c r="H147" s="23">
        <f>Calculation!G129</f>
        <v>11.8</v>
      </c>
      <c r="I147" s="24">
        <f>Calculation!J129</f>
        <v>24564</v>
      </c>
      <c r="J147" s="6" t="str">
        <f t="shared" si="1"/>
        <v>High</v>
      </c>
    </row>
    <row r="148" spans="1:10" ht="15" customHeight="1">
      <c r="A148" s="7">
        <v>129</v>
      </c>
      <c r="B148" s="6" t="s">
        <v>523</v>
      </c>
      <c r="C148" s="7" t="s">
        <v>524</v>
      </c>
      <c r="D148" s="7" t="s">
        <v>481</v>
      </c>
      <c r="E148" s="39">
        <f>Calculation!D130</f>
        <v>77065</v>
      </c>
      <c r="F148" s="21">
        <f>Calculation!E130</f>
        <v>0.61890000000000001</v>
      </c>
      <c r="G148" s="22">
        <f>Calculation!F130</f>
        <v>0.3095</v>
      </c>
      <c r="H148" s="23">
        <f>Calculation!G130</f>
        <v>11.4</v>
      </c>
      <c r="I148" s="24">
        <f>Calculation!J130</f>
        <v>23848</v>
      </c>
      <c r="J148" s="6" t="str">
        <f t="shared" ref="J148:J211" si="2">IF(G148&gt;=35%,"Transformative",IF(G148&gt;=25%,"High",IF(G148&gt;=15%,"Moderate","Low")))</f>
        <v>High</v>
      </c>
    </row>
    <row r="149" spans="1:10" ht="15" customHeight="1">
      <c r="A149" s="7">
        <v>130</v>
      </c>
      <c r="B149" s="6" t="s">
        <v>525</v>
      </c>
      <c r="C149" s="7" t="s">
        <v>526</v>
      </c>
      <c r="D149" s="7" t="s">
        <v>481</v>
      </c>
      <c r="E149" s="39">
        <f>Calculation!D131</f>
        <v>77065</v>
      </c>
      <c r="F149" s="21">
        <f>Calculation!E131</f>
        <v>0.63180000000000003</v>
      </c>
      <c r="G149" s="22">
        <f>Calculation!F131</f>
        <v>0.31590000000000001</v>
      </c>
      <c r="H149" s="23">
        <f>Calculation!G131</f>
        <v>11.7</v>
      </c>
      <c r="I149" s="24">
        <f>Calculation!J131</f>
        <v>24345</v>
      </c>
      <c r="J149" s="6" t="str">
        <f t="shared" si="2"/>
        <v>High</v>
      </c>
    </row>
    <row r="150" spans="1:10" ht="15" customHeight="1">
      <c r="A150" s="7">
        <v>131</v>
      </c>
      <c r="B150" s="6" t="s">
        <v>527</v>
      </c>
      <c r="C150" s="7" t="s">
        <v>528</v>
      </c>
      <c r="D150" s="7" t="s">
        <v>481</v>
      </c>
      <c r="E150" s="39">
        <f>Calculation!D132</f>
        <v>77065</v>
      </c>
      <c r="F150" s="21">
        <f>Calculation!E132</f>
        <v>0.6704</v>
      </c>
      <c r="G150" s="22">
        <f>Calculation!F132</f>
        <v>0.3352</v>
      </c>
      <c r="H150" s="23">
        <f>Calculation!G132</f>
        <v>12.4</v>
      </c>
      <c r="I150" s="24">
        <f>Calculation!J132</f>
        <v>25832</v>
      </c>
      <c r="J150" s="6" t="str">
        <f t="shared" si="2"/>
        <v>High</v>
      </c>
    </row>
    <row r="151" spans="1:10" ht="15" customHeight="1">
      <c r="A151" s="7">
        <v>132</v>
      </c>
      <c r="B151" s="6" t="s">
        <v>529</v>
      </c>
      <c r="C151" s="7" t="s">
        <v>530</v>
      </c>
      <c r="D151" s="7" t="s">
        <v>481</v>
      </c>
      <c r="E151" s="39">
        <f>Calculation!D133</f>
        <v>77065</v>
      </c>
      <c r="F151" s="21">
        <f>Calculation!E133</f>
        <v>0.6512</v>
      </c>
      <c r="G151" s="22">
        <f>Calculation!F133</f>
        <v>0.3256</v>
      </c>
      <c r="H151" s="23">
        <f>Calculation!G133</f>
        <v>12</v>
      </c>
      <c r="I151" s="24">
        <f>Calculation!J133</f>
        <v>25092</v>
      </c>
      <c r="J151" s="6" t="str">
        <f t="shared" si="2"/>
        <v>High</v>
      </c>
    </row>
    <row r="152" spans="1:10" ht="15" customHeight="1">
      <c r="A152" s="7">
        <v>133</v>
      </c>
      <c r="B152" s="6" t="s">
        <v>531</v>
      </c>
      <c r="C152" s="7" t="s">
        <v>532</v>
      </c>
      <c r="D152" s="7" t="s">
        <v>481</v>
      </c>
      <c r="E152" s="39">
        <f>Calculation!D134</f>
        <v>77065</v>
      </c>
      <c r="F152" s="21">
        <f>Calculation!E134</f>
        <v>0.75119999999999998</v>
      </c>
      <c r="G152" s="22">
        <f>Calculation!F134</f>
        <v>0.37559999999999999</v>
      </c>
      <c r="H152" s="23">
        <f>Calculation!G134</f>
        <v>13.9</v>
      </c>
      <c r="I152" s="24">
        <f>Calculation!J134</f>
        <v>28946</v>
      </c>
      <c r="J152" s="6" t="str">
        <f t="shared" si="2"/>
        <v>Transformative</v>
      </c>
    </row>
    <row r="153" spans="1:10" ht="15" customHeight="1">
      <c r="A153" s="7">
        <v>134</v>
      </c>
      <c r="B153" s="6" t="s">
        <v>533</v>
      </c>
      <c r="C153" s="7" t="s">
        <v>534</v>
      </c>
      <c r="D153" s="7" t="s">
        <v>481</v>
      </c>
      <c r="E153" s="39">
        <f>Calculation!D135</f>
        <v>77065</v>
      </c>
      <c r="F153" s="21">
        <f>Calculation!E135</f>
        <v>0.67100000000000004</v>
      </c>
      <c r="G153" s="22">
        <f>Calculation!F135</f>
        <v>0.33550000000000002</v>
      </c>
      <c r="H153" s="23">
        <f>Calculation!G135</f>
        <v>12.4</v>
      </c>
      <c r="I153" s="24">
        <f>Calculation!J135</f>
        <v>25855</v>
      </c>
      <c r="J153" s="6" t="str">
        <f t="shared" si="2"/>
        <v>High</v>
      </c>
    </row>
    <row r="154" spans="1:10" ht="15" customHeight="1">
      <c r="A154" s="7">
        <v>135</v>
      </c>
      <c r="B154" s="6" t="s">
        <v>535</v>
      </c>
      <c r="C154" s="7" t="s">
        <v>536</v>
      </c>
      <c r="D154" s="7" t="s">
        <v>481</v>
      </c>
      <c r="E154" s="39">
        <f>Calculation!D136</f>
        <v>77065</v>
      </c>
      <c r="F154" s="21">
        <f>Calculation!E136</f>
        <v>0.69679999999999997</v>
      </c>
      <c r="G154" s="22">
        <f>Calculation!F136</f>
        <v>0.34839999999999999</v>
      </c>
      <c r="H154" s="23">
        <f>Calculation!G136</f>
        <v>12.9</v>
      </c>
      <c r="I154" s="24">
        <f>Calculation!J136</f>
        <v>26849</v>
      </c>
      <c r="J154" s="6" t="str">
        <f t="shared" si="2"/>
        <v>High</v>
      </c>
    </row>
    <row r="155" spans="1:10" ht="15" customHeight="1">
      <c r="A155" s="7">
        <v>136</v>
      </c>
      <c r="B155" s="6" t="s">
        <v>537</v>
      </c>
      <c r="C155" s="7" t="s">
        <v>538</v>
      </c>
      <c r="D155" s="7" t="s">
        <v>481</v>
      </c>
      <c r="E155" s="39">
        <f>Calculation!D137</f>
        <v>77065</v>
      </c>
      <c r="F155" s="21">
        <f>Calculation!E137</f>
        <v>0.68149999999999999</v>
      </c>
      <c r="G155" s="22">
        <f>Calculation!F137</f>
        <v>0.34079999999999999</v>
      </c>
      <c r="H155" s="23">
        <f>Calculation!G137</f>
        <v>12.6</v>
      </c>
      <c r="I155" s="24">
        <f>Calculation!J137</f>
        <v>26260</v>
      </c>
      <c r="J155" s="6" t="str">
        <f t="shared" si="2"/>
        <v>High</v>
      </c>
    </row>
    <row r="156" spans="1:10" ht="15" customHeight="1">
      <c r="A156" s="7">
        <v>137</v>
      </c>
      <c r="B156" s="6" t="s">
        <v>539</v>
      </c>
      <c r="C156" s="7" t="s">
        <v>540</v>
      </c>
      <c r="D156" s="7" t="s">
        <v>481</v>
      </c>
      <c r="E156" s="39">
        <f>Calculation!D138</f>
        <v>77065</v>
      </c>
      <c r="F156" s="21">
        <f>Calculation!E138</f>
        <v>0.70760000000000001</v>
      </c>
      <c r="G156" s="22">
        <f>Calculation!F138</f>
        <v>0.3538</v>
      </c>
      <c r="H156" s="23">
        <f>Calculation!G138</f>
        <v>13.1</v>
      </c>
      <c r="I156" s="24">
        <f>Calculation!J138</f>
        <v>27266</v>
      </c>
      <c r="J156" s="6" t="str">
        <f t="shared" si="2"/>
        <v>Transformative</v>
      </c>
    </row>
    <row r="157" spans="1:10" ht="15" customHeight="1">
      <c r="A157" s="7">
        <v>138</v>
      </c>
      <c r="B157" s="6" t="s">
        <v>541</v>
      </c>
      <c r="C157" s="7" t="s">
        <v>542</v>
      </c>
      <c r="D157" s="7" t="s">
        <v>543</v>
      </c>
      <c r="E157" s="39">
        <f>Calculation!D139</f>
        <v>57000</v>
      </c>
      <c r="F157" s="21">
        <f>Calculation!E139</f>
        <v>0.63080000000000003</v>
      </c>
      <c r="G157" s="22">
        <f>Calculation!F139</f>
        <v>0.31540000000000001</v>
      </c>
      <c r="H157" s="23">
        <f>Calculation!G139</f>
        <v>11.7</v>
      </c>
      <c r="I157" s="24">
        <f>Calculation!J139</f>
        <v>17978</v>
      </c>
      <c r="J157" s="6" t="str">
        <f t="shared" si="2"/>
        <v>High</v>
      </c>
    </row>
    <row r="158" spans="1:10" ht="15" customHeight="1">
      <c r="A158" s="7">
        <v>139</v>
      </c>
      <c r="B158" s="6" t="s">
        <v>544</v>
      </c>
      <c r="C158" s="7" t="s">
        <v>545</v>
      </c>
      <c r="D158" s="7" t="s">
        <v>543</v>
      </c>
      <c r="E158" s="39">
        <f>Calculation!D140</f>
        <v>57000</v>
      </c>
      <c r="F158" s="21">
        <f>Calculation!E140</f>
        <v>0.57279999999999998</v>
      </c>
      <c r="G158" s="22">
        <f>Calculation!F140</f>
        <v>0.28639999999999999</v>
      </c>
      <c r="H158" s="23">
        <f>Calculation!G140</f>
        <v>10.6</v>
      </c>
      <c r="I158" s="24">
        <f>Calculation!J140</f>
        <v>16325</v>
      </c>
      <c r="J158" s="6" t="str">
        <f t="shared" si="2"/>
        <v>High</v>
      </c>
    </row>
    <row r="159" spans="1:10" ht="15" customHeight="1">
      <c r="A159" s="7">
        <v>140</v>
      </c>
      <c r="B159" s="6" t="s">
        <v>546</v>
      </c>
      <c r="C159" s="7" t="s">
        <v>547</v>
      </c>
      <c r="D159" s="7" t="s">
        <v>543</v>
      </c>
      <c r="E159" s="39">
        <f>Calculation!D141</f>
        <v>57000</v>
      </c>
      <c r="F159" s="21">
        <f>Calculation!E141</f>
        <v>0.57099999999999995</v>
      </c>
      <c r="G159" s="22">
        <f>Calculation!F141</f>
        <v>0.28549999999999998</v>
      </c>
      <c r="H159" s="23">
        <f>Calculation!G141</f>
        <v>10.6</v>
      </c>
      <c r="I159" s="24">
        <f>Calculation!J141</f>
        <v>16274</v>
      </c>
      <c r="J159" s="6" t="str">
        <f t="shared" si="2"/>
        <v>High</v>
      </c>
    </row>
    <row r="160" spans="1:10" ht="15" customHeight="1">
      <c r="A160" s="7">
        <v>141</v>
      </c>
      <c r="B160" s="6" t="s">
        <v>548</v>
      </c>
      <c r="C160" s="7" t="s">
        <v>549</v>
      </c>
      <c r="D160" s="7" t="s">
        <v>543</v>
      </c>
      <c r="E160" s="39">
        <f>Calculation!D142</f>
        <v>57000</v>
      </c>
      <c r="F160" s="21">
        <f>Calculation!E142</f>
        <v>0.57050000000000001</v>
      </c>
      <c r="G160" s="22">
        <f>Calculation!F142</f>
        <v>0.2853</v>
      </c>
      <c r="H160" s="23">
        <f>Calculation!G142</f>
        <v>10.6</v>
      </c>
      <c r="I160" s="24">
        <f>Calculation!J142</f>
        <v>16259</v>
      </c>
      <c r="J160" s="6" t="str">
        <f t="shared" si="2"/>
        <v>High</v>
      </c>
    </row>
    <row r="161" spans="1:10" ht="15" customHeight="1">
      <c r="A161" s="7">
        <v>142</v>
      </c>
      <c r="B161" s="6" t="s">
        <v>550</v>
      </c>
      <c r="C161" s="7" t="s">
        <v>551</v>
      </c>
      <c r="D161" s="7" t="s">
        <v>543</v>
      </c>
      <c r="E161" s="39">
        <f>Calculation!D143</f>
        <v>57000</v>
      </c>
      <c r="F161" s="21">
        <f>Calculation!E143</f>
        <v>0.68469999999999998</v>
      </c>
      <c r="G161" s="22">
        <f>Calculation!F143</f>
        <v>0.34229999999999999</v>
      </c>
      <c r="H161" s="23">
        <f>Calculation!G143</f>
        <v>12.7</v>
      </c>
      <c r="I161" s="24">
        <f>Calculation!J143</f>
        <v>19514</v>
      </c>
      <c r="J161" s="6" t="str">
        <f t="shared" si="2"/>
        <v>High</v>
      </c>
    </row>
    <row r="162" spans="1:10" ht="15" customHeight="1">
      <c r="A162" s="7">
        <v>143</v>
      </c>
      <c r="B162" s="6" t="s">
        <v>552</v>
      </c>
      <c r="C162" s="7" t="s">
        <v>553</v>
      </c>
      <c r="D162" s="7" t="s">
        <v>543</v>
      </c>
      <c r="E162" s="39">
        <f>Calculation!D144</f>
        <v>57000</v>
      </c>
      <c r="F162" s="21">
        <f>Calculation!E144</f>
        <v>0.61539999999999995</v>
      </c>
      <c r="G162" s="22">
        <f>Calculation!F144</f>
        <v>0.30769999999999997</v>
      </c>
      <c r="H162" s="23">
        <f>Calculation!G144</f>
        <v>11.4</v>
      </c>
      <c r="I162" s="24">
        <f>Calculation!J144</f>
        <v>17539</v>
      </c>
      <c r="J162" s="6" t="str">
        <f t="shared" si="2"/>
        <v>High</v>
      </c>
    </row>
    <row r="163" spans="1:10" ht="15" customHeight="1">
      <c r="A163" s="7">
        <v>144</v>
      </c>
      <c r="B163" s="6" t="s">
        <v>554</v>
      </c>
      <c r="C163" s="7" t="s">
        <v>555</v>
      </c>
      <c r="D163" s="7" t="s">
        <v>543</v>
      </c>
      <c r="E163" s="39">
        <f>Calculation!D145</f>
        <v>57000</v>
      </c>
      <c r="F163" s="21">
        <f>Calculation!E145</f>
        <v>0.57099999999999995</v>
      </c>
      <c r="G163" s="22">
        <f>Calculation!F145</f>
        <v>0.28549999999999998</v>
      </c>
      <c r="H163" s="23">
        <f>Calculation!G145</f>
        <v>10.6</v>
      </c>
      <c r="I163" s="24">
        <f>Calculation!J145</f>
        <v>16274</v>
      </c>
      <c r="J163" s="6" t="str">
        <f t="shared" si="2"/>
        <v>High</v>
      </c>
    </row>
    <row r="164" spans="1:10" ht="15" customHeight="1">
      <c r="A164" s="7">
        <v>145</v>
      </c>
      <c r="B164" s="6" t="s">
        <v>556</v>
      </c>
      <c r="C164" s="7" t="s">
        <v>557</v>
      </c>
      <c r="D164" s="7" t="s">
        <v>543</v>
      </c>
      <c r="E164" s="39">
        <f>Calculation!D146</f>
        <v>57000</v>
      </c>
      <c r="F164" s="21">
        <f>Calculation!E146</f>
        <v>0.67830000000000001</v>
      </c>
      <c r="G164" s="22">
        <f>Calculation!F146</f>
        <v>0.3392</v>
      </c>
      <c r="H164" s="23">
        <f>Calculation!G146</f>
        <v>12.5</v>
      </c>
      <c r="I164" s="24">
        <f>Calculation!J146</f>
        <v>19332</v>
      </c>
      <c r="J164" s="6" t="str">
        <f t="shared" si="2"/>
        <v>High</v>
      </c>
    </row>
    <row r="165" spans="1:10" ht="15" customHeight="1">
      <c r="A165" s="7">
        <v>146</v>
      </c>
      <c r="B165" s="6" t="s">
        <v>558</v>
      </c>
      <c r="C165" s="7" t="s">
        <v>559</v>
      </c>
      <c r="D165" s="7" t="s">
        <v>543</v>
      </c>
      <c r="E165" s="39">
        <f>Calculation!D147</f>
        <v>57000</v>
      </c>
      <c r="F165" s="21">
        <f>Calculation!E147</f>
        <v>0.6</v>
      </c>
      <c r="G165" s="22">
        <f>Calculation!F147</f>
        <v>0.3</v>
      </c>
      <c r="H165" s="23">
        <f>Calculation!G147</f>
        <v>11.1</v>
      </c>
      <c r="I165" s="24">
        <f>Calculation!J147</f>
        <v>17100</v>
      </c>
      <c r="J165" s="6" t="str">
        <f t="shared" si="2"/>
        <v>High</v>
      </c>
    </row>
    <row r="166" spans="1:10" ht="15" customHeight="1">
      <c r="A166" s="7">
        <v>147</v>
      </c>
      <c r="B166" s="6" t="s">
        <v>560</v>
      </c>
      <c r="C166" s="7" t="s">
        <v>561</v>
      </c>
      <c r="D166" s="7" t="s">
        <v>543</v>
      </c>
      <c r="E166" s="39">
        <f>Calculation!D148</f>
        <v>57000</v>
      </c>
      <c r="F166" s="21">
        <f>Calculation!E148</f>
        <v>0.70640000000000003</v>
      </c>
      <c r="G166" s="22">
        <f>Calculation!F148</f>
        <v>0.35320000000000001</v>
      </c>
      <c r="H166" s="23">
        <f>Calculation!G148</f>
        <v>13.1</v>
      </c>
      <c r="I166" s="24">
        <f>Calculation!J148</f>
        <v>20132</v>
      </c>
      <c r="J166" s="6" t="str">
        <f t="shared" si="2"/>
        <v>Transformative</v>
      </c>
    </row>
    <row r="167" spans="1:10" ht="15" customHeight="1">
      <c r="A167" s="7">
        <v>148</v>
      </c>
      <c r="B167" s="6" t="s">
        <v>562</v>
      </c>
      <c r="C167" s="7" t="s">
        <v>563</v>
      </c>
      <c r="D167" s="7" t="s">
        <v>543</v>
      </c>
      <c r="E167" s="39">
        <f>Calculation!D149</f>
        <v>57000</v>
      </c>
      <c r="F167" s="21">
        <f>Calculation!E149</f>
        <v>0.72519999999999996</v>
      </c>
      <c r="G167" s="22">
        <f>Calculation!F149</f>
        <v>0.36259999999999998</v>
      </c>
      <c r="H167" s="23">
        <f>Calculation!G149</f>
        <v>13.4</v>
      </c>
      <c r="I167" s="24">
        <f>Calculation!J149</f>
        <v>20668</v>
      </c>
      <c r="J167" s="6" t="str">
        <f t="shared" si="2"/>
        <v>Transformative</v>
      </c>
    </row>
    <row r="168" spans="1:10" ht="15" customHeight="1">
      <c r="A168" s="7">
        <v>149</v>
      </c>
      <c r="B168" s="6" t="s">
        <v>564</v>
      </c>
      <c r="C168" s="7" t="s">
        <v>565</v>
      </c>
      <c r="D168" s="7" t="s">
        <v>543</v>
      </c>
      <c r="E168" s="39">
        <f>Calculation!D150</f>
        <v>57000</v>
      </c>
      <c r="F168" s="21">
        <f>Calculation!E150</f>
        <v>0.73870000000000002</v>
      </c>
      <c r="G168" s="22">
        <f>Calculation!F150</f>
        <v>0.36940000000000001</v>
      </c>
      <c r="H168" s="23">
        <f>Calculation!G150</f>
        <v>13.7</v>
      </c>
      <c r="I168" s="24">
        <f>Calculation!J150</f>
        <v>21053</v>
      </c>
      <c r="J168" s="6" t="str">
        <f t="shared" si="2"/>
        <v>Transformative</v>
      </c>
    </row>
    <row r="169" spans="1:10" ht="15" customHeight="1">
      <c r="A169" s="7">
        <v>150</v>
      </c>
      <c r="B169" s="6" t="s">
        <v>566</v>
      </c>
      <c r="C169" s="7" t="s">
        <v>567</v>
      </c>
      <c r="D169" s="7" t="s">
        <v>568</v>
      </c>
      <c r="E169" s="39">
        <f>Calculation!D151</f>
        <v>71615</v>
      </c>
      <c r="F169" s="21">
        <f>Calculation!E151</f>
        <v>0.55889999999999995</v>
      </c>
      <c r="G169" s="22">
        <f>Calculation!F151</f>
        <v>0.30740000000000001</v>
      </c>
      <c r="H169" s="23">
        <f>Calculation!G151</f>
        <v>11.4</v>
      </c>
      <c r="I169" s="24">
        <f>Calculation!J151</f>
        <v>22014</v>
      </c>
      <c r="J169" s="6" t="str">
        <f t="shared" si="2"/>
        <v>High</v>
      </c>
    </row>
    <row r="170" spans="1:10" ht="15" customHeight="1">
      <c r="A170" s="7">
        <v>151</v>
      </c>
      <c r="B170" s="6" t="s">
        <v>569</v>
      </c>
      <c r="C170" s="7" t="s">
        <v>570</v>
      </c>
      <c r="D170" s="7" t="s">
        <v>568</v>
      </c>
      <c r="E170" s="39">
        <f>Calculation!D152</f>
        <v>71615</v>
      </c>
      <c r="F170" s="21">
        <f>Calculation!E152</f>
        <v>0.54</v>
      </c>
      <c r="G170" s="22">
        <f>Calculation!F152</f>
        <v>0.29699999999999999</v>
      </c>
      <c r="H170" s="23">
        <f>Calculation!G152</f>
        <v>11</v>
      </c>
      <c r="I170" s="24">
        <f>Calculation!J152</f>
        <v>21270</v>
      </c>
      <c r="J170" s="6" t="str">
        <f t="shared" si="2"/>
        <v>High</v>
      </c>
    </row>
    <row r="171" spans="1:10" ht="15" customHeight="1">
      <c r="A171" s="7">
        <v>152</v>
      </c>
      <c r="B171" s="6" t="s">
        <v>571</v>
      </c>
      <c r="C171" s="7" t="s">
        <v>572</v>
      </c>
      <c r="D171" s="7" t="s">
        <v>568</v>
      </c>
      <c r="E171" s="39">
        <f>Calculation!D153</f>
        <v>71615</v>
      </c>
      <c r="F171" s="21">
        <f>Calculation!E153</f>
        <v>0.4728</v>
      </c>
      <c r="G171" s="22">
        <f>Calculation!F153</f>
        <v>0.26</v>
      </c>
      <c r="H171" s="23">
        <f>Calculation!G153</f>
        <v>9.6</v>
      </c>
      <c r="I171" s="24">
        <f>Calculation!J153</f>
        <v>18623</v>
      </c>
      <c r="J171" s="6" t="str">
        <f t="shared" si="2"/>
        <v>High</v>
      </c>
    </row>
    <row r="172" spans="1:10" ht="15" customHeight="1">
      <c r="A172" s="7">
        <v>153</v>
      </c>
      <c r="B172" s="6" t="s">
        <v>573</v>
      </c>
      <c r="C172" s="7" t="s">
        <v>574</v>
      </c>
      <c r="D172" s="7" t="s">
        <v>568</v>
      </c>
      <c r="E172" s="39">
        <f>Calculation!D154</f>
        <v>71615</v>
      </c>
      <c r="F172" s="21">
        <f>Calculation!E154</f>
        <v>0.54200000000000004</v>
      </c>
      <c r="G172" s="22">
        <f>Calculation!F154</f>
        <v>0.29809999999999998</v>
      </c>
      <c r="H172" s="23">
        <f>Calculation!G154</f>
        <v>11</v>
      </c>
      <c r="I172" s="24">
        <f>Calculation!J154</f>
        <v>21348</v>
      </c>
      <c r="J172" s="6" t="str">
        <f t="shared" si="2"/>
        <v>High</v>
      </c>
    </row>
    <row r="173" spans="1:10" ht="15" customHeight="1">
      <c r="A173" s="7">
        <v>154</v>
      </c>
      <c r="B173" s="6" t="s">
        <v>575</v>
      </c>
      <c r="C173" s="7" t="s">
        <v>576</v>
      </c>
      <c r="D173" s="7" t="s">
        <v>568</v>
      </c>
      <c r="E173" s="39">
        <f>Calculation!D155</f>
        <v>71615</v>
      </c>
      <c r="F173" s="21">
        <f>Calculation!E155</f>
        <v>0.56069999999999998</v>
      </c>
      <c r="G173" s="22">
        <f>Calculation!F155</f>
        <v>0.30840000000000001</v>
      </c>
      <c r="H173" s="23">
        <f>Calculation!G155</f>
        <v>11.4</v>
      </c>
      <c r="I173" s="24">
        <f>Calculation!J155</f>
        <v>22085</v>
      </c>
      <c r="J173" s="6" t="str">
        <f t="shared" si="2"/>
        <v>High</v>
      </c>
    </row>
    <row r="174" spans="1:10" ht="15" customHeight="1">
      <c r="A174" s="7">
        <v>155</v>
      </c>
      <c r="B174" s="6" t="s">
        <v>577</v>
      </c>
      <c r="C174" s="7" t="s">
        <v>578</v>
      </c>
      <c r="D174" s="7" t="s">
        <v>568</v>
      </c>
      <c r="E174" s="39">
        <f>Calculation!D156</f>
        <v>71615</v>
      </c>
      <c r="F174" s="21">
        <f>Calculation!E156</f>
        <v>0.61890000000000001</v>
      </c>
      <c r="G174" s="22">
        <f>Calculation!F156</f>
        <v>0.34039999999999998</v>
      </c>
      <c r="H174" s="23">
        <f>Calculation!G156</f>
        <v>12.6</v>
      </c>
      <c r="I174" s="24">
        <f>Calculation!J156</f>
        <v>24377</v>
      </c>
      <c r="J174" s="6" t="str">
        <f t="shared" si="2"/>
        <v>High</v>
      </c>
    </row>
    <row r="175" spans="1:10" ht="15" customHeight="1">
      <c r="A175" s="7">
        <v>156</v>
      </c>
      <c r="B175" s="6" t="s">
        <v>579</v>
      </c>
      <c r="C175" s="7" t="s">
        <v>580</v>
      </c>
      <c r="D175" s="7" t="s">
        <v>568</v>
      </c>
      <c r="E175" s="39">
        <f>Calculation!D157</f>
        <v>71615</v>
      </c>
      <c r="F175" s="21">
        <f>Calculation!E157</f>
        <v>0.56340000000000001</v>
      </c>
      <c r="G175" s="22">
        <f>Calculation!F157</f>
        <v>0.30990000000000001</v>
      </c>
      <c r="H175" s="23">
        <f>Calculation!G157</f>
        <v>11.5</v>
      </c>
      <c r="I175" s="24">
        <f>Calculation!J157</f>
        <v>22191</v>
      </c>
      <c r="J175" s="6" t="str">
        <f t="shared" si="2"/>
        <v>High</v>
      </c>
    </row>
    <row r="176" spans="1:10" ht="15" customHeight="1">
      <c r="A176" s="7">
        <v>157</v>
      </c>
      <c r="B176" s="6" t="s">
        <v>581</v>
      </c>
      <c r="C176" s="7" t="s">
        <v>582</v>
      </c>
      <c r="D176" s="7" t="s">
        <v>568</v>
      </c>
      <c r="E176" s="39">
        <f>Calculation!D158</f>
        <v>71615</v>
      </c>
      <c r="F176" s="21">
        <f>Calculation!E158</f>
        <v>0.6069</v>
      </c>
      <c r="G176" s="22">
        <f>Calculation!F158</f>
        <v>0.33379999999999999</v>
      </c>
      <c r="H176" s="23">
        <f>Calculation!G158</f>
        <v>12.4</v>
      </c>
      <c r="I176" s="24">
        <f>Calculation!J158</f>
        <v>23905</v>
      </c>
      <c r="J176" s="6" t="str">
        <f t="shared" si="2"/>
        <v>High</v>
      </c>
    </row>
    <row r="177" spans="1:10" ht="15" customHeight="1">
      <c r="A177" s="7">
        <v>158</v>
      </c>
      <c r="B177" s="6" t="s">
        <v>583</v>
      </c>
      <c r="C177" s="7" t="s">
        <v>584</v>
      </c>
      <c r="D177" s="7" t="s">
        <v>568</v>
      </c>
      <c r="E177" s="39">
        <f>Calculation!D159</f>
        <v>71615</v>
      </c>
      <c r="F177" s="21">
        <f>Calculation!E159</f>
        <v>0.57279999999999998</v>
      </c>
      <c r="G177" s="22">
        <f>Calculation!F159</f>
        <v>0.315</v>
      </c>
      <c r="H177" s="23">
        <f>Calculation!G159</f>
        <v>11.7</v>
      </c>
      <c r="I177" s="24">
        <f>Calculation!J159</f>
        <v>22562</v>
      </c>
      <c r="J177" s="6" t="str">
        <f t="shared" si="2"/>
        <v>High</v>
      </c>
    </row>
    <row r="178" spans="1:10" ht="15" customHeight="1">
      <c r="A178" s="7">
        <v>159</v>
      </c>
      <c r="B178" s="6" t="s">
        <v>585</v>
      </c>
      <c r="C178" s="7" t="s">
        <v>586</v>
      </c>
      <c r="D178" s="7" t="s">
        <v>568</v>
      </c>
      <c r="E178" s="39">
        <f>Calculation!D160</f>
        <v>71615</v>
      </c>
      <c r="F178" s="21">
        <f>Calculation!E160</f>
        <v>0.59499999999999997</v>
      </c>
      <c r="G178" s="22">
        <f>Calculation!F160</f>
        <v>0.32719999999999999</v>
      </c>
      <c r="H178" s="23">
        <f>Calculation!G160</f>
        <v>12.1</v>
      </c>
      <c r="I178" s="24">
        <f>Calculation!J160</f>
        <v>23436</v>
      </c>
      <c r="J178" s="6" t="str">
        <f t="shared" si="2"/>
        <v>High</v>
      </c>
    </row>
    <row r="179" spans="1:10" ht="15" customHeight="1">
      <c r="A179" s="7">
        <v>160</v>
      </c>
      <c r="B179" s="6" t="s">
        <v>587</v>
      </c>
      <c r="C179" s="7" t="s">
        <v>588</v>
      </c>
      <c r="D179" s="7" t="s">
        <v>568</v>
      </c>
      <c r="E179" s="39">
        <f>Calculation!D161</f>
        <v>71615</v>
      </c>
      <c r="F179" s="21">
        <f>Calculation!E161</f>
        <v>0.627</v>
      </c>
      <c r="G179" s="22">
        <f>Calculation!F161</f>
        <v>0.34489999999999998</v>
      </c>
      <c r="H179" s="23">
        <f>Calculation!G161</f>
        <v>12.8</v>
      </c>
      <c r="I179" s="24">
        <f>Calculation!J161</f>
        <v>24696</v>
      </c>
      <c r="J179" s="6" t="str">
        <f t="shared" si="2"/>
        <v>High</v>
      </c>
    </row>
    <row r="180" spans="1:10" ht="15" customHeight="1">
      <c r="A180" s="7">
        <v>161</v>
      </c>
      <c r="B180" s="6" t="s">
        <v>589</v>
      </c>
      <c r="C180" s="7" t="s">
        <v>590</v>
      </c>
      <c r="D180" s="7" t="s">
        <v>568</v>
      </c>
      <c r="E180" s="39">
        <f>Calculation!D162</f>
        <v>71615</v>
      </c>
      <c r="F180" s="21">
        <f>Calculation!E162</f>
        <v>0.4763</v>
      </c>
      <c r="G180" s="22">
        <f>Calculation!F162</f>
        <v>0.26200000000000001</v>
      </c>
      <c r="H180" s="23">
        <f>Calculation!G162</f>
        <v>9.6999999999999993</v>
      </c>
      <c r="I180" s="24">
        <f>Calculation!J162</f>
        <v>18761</v>
      </c>
      <c r="J180" s="6" t="str">
        <f t="shared" si="2"/>
        <v>High</v>
      </c>
    </row>
    <row r="181" spans="1:10" ht="15" customHeight="1">
      <c r="A181" s="7">
        <v>162</v>
      </c>
      <c r="B181" s="6" t="s">
        <v>591</v>
      </c>
      <c r="C181" s="7" t="s">
        <v>592</v>
      </c>
      <c r="D181" s="7" t="s">
        <v>568</v>
      </c>
      <c r="E181" s="39">
        <f>Calculation!D163</f>
        <v>71615</v>
      </c>
      <c r="F181" s="21">
        <f>Calculation!E163</f>
        <v>0.46600000000000003</v>
      </c>
      <c r="G181" s="22">
        <f>Calculation!F163</f>
        <v>0.25629999999999997</v>
      </c>
      <c r="H181" s="23">
        <f>Calculation!G163</f>
        <v>9.5</v>
      </c>
      <c r="I181" s="24">
        <f>Calculation!J163</f>
        <v>18355</v>
      </c>
      <c r="J181" s="6" t="str">
        <f t="shared" si="2"/>
        <v>High</v>
      </c>
    </row>
    <row r="182" spans="1:10" ht="15" customHeight="1">
      <c r="A182" s="7">
        <v>163</v>
      </c>
      <c r="B182" s="6" t="s">
        <v>593</v>
      </c>
      <c r="C182" s="7" t="s">
        <v>594</v>
      </c>
      <c r="D182" s="7" t="s">
        <v>595</v>
      </c>
      <c r="E182" s="39">
        <f>Calculation!D164</f>
        <v>87600</v>
      </c>
      <c r="F182" s="21">
        <f>Calculation!E164</f>
        <v>0.4662</v>
      </c>
      <c r="G182" s="22">
        <f>Calculation!F164</f>
        <v>0.25640000000000002</v>
      </c>
      <c r="H182" s="23">
        <f>Calculation!G164</f>
        <v>9.5</v>
      </c>
      <c r="I182" s="24">
        <f>Calculation!J164</f>
        <v>22462</v>
      </c>
      <c r="J182" s="6" t="str">
        <f t="shared" si="2"/>
        <v>High</v>
      </c>
    </row>
    <row r="183" spans="1:10" ht="15" customHeight="1">
      <c r="A183" s="7">
        <v>164</v>
      </c>
      <c r="B183" s="6" t="s">
        <v>596</v>
      </c>
      <c r="C183" s="7" t="s">
        <v>597</v>
      </c>
      <c r="D183" s="7" t="s">
        <v>595</v>
      </c>
      <c r="E183" s="39">
        <f>Calculation!D165</f>
        <v>87600</v>
      </c>
      <c r="F183" s="21">
        <f>Calculation!E165</f>
        <v>0.61299999999999999</v>
      </c>
      <c r="G183" s="22">
        <f>Calculation!F165</f>
        <v>0.3372</v>
      </c>
      <c r="H183" s="23">
        <f>Calculation!G165</f>
        <v>12.5</v>
      </c>
      <c r="I183" s="24">
        <f>Calculation!J165</f>
        <v>29534</v>
      </c>
      <c r="J183" s="6" t="str">
        <f t="shared" si="2"/>
        <v>High</v>
      </c>
    </row>
    <row r="184" spans="1:10" ht="15" customHeight="1">
      <c r="A184" s="7">
        <v>165</v>
      </c>
      <c r="B184" s="6" t="s">
        <v>598</v>
      </c>
      <c r="C184" s="7" t="s">
        <v>599</v>
      </c>
      <c r="D184" s="7" t="s">
        <v>595</v>
      </c>
      <c r="E184" s="39">
        <f>Calculation!D166</f>
        <v>87600</v>
      </c>
      <c r="F184" s="21">
        <f>Calculation!E166</f>
        <v>0.46739999999999998</v>
      </c>
      <c r="G184" s="22">
        <f>Calculation!F166</f>
        <v>0.2571</v>
      </c>
      <c r="H184" s="23">
        <f>Calculation!G166</f>
        <v>9.5</v>
      </c>
      <c r="I184" s="24">
        <f>Calculation!J166</f>
        <v>22519</v>
      </c>
      <c r="J184" s="6" t="str">
        <f t="shared" si="2"/>
        <v>High</v>
      </c>
    </row>
    <row r="185" spans="1:10" ht="15" customHeight="1">
      <c r="A185" s="7">
        <v>166</v>
      </c>
      <c r="B185" s="6" t="s">
        <v>600</v>
      </c>
      <c r="C185" s="7" t="s">
        <v>601</v>
      </c>
      <c r="D185" s="7" t="s">
        <v>595</v>
      </c>
      <c r="E185" s="39">
        <f>Calculation!D167</f>
        <v>87600</v>
      </c>
      <c r="F185" s="21">
        <f>Calculation!E167</f>
        <v>0.50129999999999997</v>
      </c>
      <c r="G185" s="22">
        <f>Calculation!F167</f>
        <v>0.2757</v>
      </c>
      <c r="H185" s="23">
        <f>Calculation!G167</f>
        <v>10.199999999999999</v>
      </c>
      <c r="I185" s="24">
        <f>Calculation!J167</f>
        <v>24153</v>
      </c>
      <c r="J185" s="6" t="str">
        <f t="shared" si="2"/>
        <v>High</v>
      </c>
    </row>
    <row r="186" spans="1:10" ht="15" customHeight="1">
      <c r="A186" s="7">
        <v>167</v>
      </c>
      <c r="B186" s="6" t="s">
        <v>602</v>
      </c>
      <c r="C186" s="7" t="s">
        <v>603</v>
      </c>
      <c r="D186" s="7" t="s">
        <v>595</v>
      </c>
      <c r="E186" s="39">
        <f>Calculation!D168</f>
        <v>87600</v>
      </c>
      <c r="F186" s="21">
        <f>Calculation!E168</f>
        <v>0.56850000000000001</v>
      </c>
      <c r="G186" s="22">
        <f>Calculation!F168</f>
        <v>0.31269999999999998</v>
      </c>
      <c r="H186" s="23">
        <f>Calculation!G168</f>
        <v>11.6</v>
      </c>
      <c r="I186" s="24">
        <f>Calculation!J168</f>
        <v>27390</v>
      </c>
      <c r="J186" s="6" t="str">
        <f t="shared" si="2"/>
        <v>High</v>
      </c>
    </row>
    <row r="187" spans="1:10" ht="15" customHeight="1">
      <c r="A187" s="7">
        <v>168</v>
      </c>
      <c r="B187" s="6" t="s">
        <v>604</v>
      </c>
      <c r="C187" s="7" t="s">
        <v>605</v>
      </c>
      <c r="D187" s="7" t="s">
        <v>606</v>
      </c>
      <c r="E187" s="39">
        <f>Calculation!D169</f>
        <v>40786</v>
      </c>
      <c r="F187" s="21">
        <f>Calculation!E169</f>
        <v>0.6754</v>
      </c>
      <c r="G187" s="22">
        <f>Calculation!F169</f>
        <v>0.3377</v>
      </c>
      <c r="H187" s="23">
        <f>Calculation!G169</f>
        <v>12.5</v>
      </c>
      <c r="I187" s="24">
        <f>Calculation!J169</f>
        <v>13773</v>
      </c>
      <c r="J187" s="6" t="str">
        <f t="shared" si="2"/>
        <v>High</v>
      </c>
    </row>
    <row r="188" spans="1:10" ht="15" customHeight="1">
      <c r="A188" s="7">
        <v>169</v>
      </c>
      <c r="B188" s="6" t="s">
        <v>607</v>
      </c>
      <c r="C188" s="7" t="s">
        <v>608</v>
      </c>
      <c r="D188" s="7" t="s">
        <v>606</v>
      </c>
      <c r="E188" s="39">
        <f>Calculation!D170</f>
        <v>40786</v>
      </c>
      <c r="F188" s="21">
        <f>Calculation!E170</f>
        <v>0.79400000000000004</v>
      </c>
      <c r="G188" s="22">
        <f>Calculation!F170</f>
        <v>0.39700000000000002</v>
      </c>
      <c r="H188" s="23">
        <f>Calculation!G170</f>
        <v>14.7</v>
      </c>
      <c r="I188" s="24">
        <f>Calculation!J170</f>
        <v>16192</v>
      </c>
      <c r="J188" s="6" t="str">
        <f t="shared" si="2"/>
        <v>Transformative</v>
      </c>
    </row>
    <row r="189" spans="1:10" ht="15" customHeight="1">
      <c r="A189" s="7">
        <v>170</v>
      </c>
      <c r="B189" s="6" t="s">
        <v>609</v>
      </c>
      <c r="C189" s="7" t="s">
        <v>610</v>
      </c>
      <c r="D189" s="7" t="s">
        <v>606</v>
      </c>
      <c r="E189" s="39">
        <f>Calculation!D171</f>
        <v>40786</v>
      </c>
      <c r="F189" s="21">
        <f>Calculation!E171</f>
        <v>0.44090000000000001</v>
      </c>
      <c r="G189" s="22">
        <f>Calculation!F171</f>
        <v>0.22040000000000001</v>
      </c>
      <c r="H189" s="23">
        <f>Calculation!G171</f>
        <v>8.1999999999999993</v>
      </c>
      <c r="I189" s="24">
        <f>Calculation!J171</f>
        <v>8991</v>
      </c>
      <c r="J189" s="6" t="str">
        <f t="shared" si="2"/>
        <v>Moderate</v>
      </c>
    </row>
    <row r="190" spans="1:10" ht="15" customHeight="1">
      <c r="A190" s="7">
        <v>171</v>
      </c>
      <c r="B190" s="6" t="s">
        <v>611</v>
      </c>
      <c r="C190" s="7" t="s">
        <v>612</v>
      </c>
      <c r="D190" s="7" t="s">
        <v>606</v>
      </c>
      <c r="E190" s="39">
        <f>Calculation!D172</f>
        <v>40786</v>
      </c>
      <c r="F190" s="21">
        <f>Calculation!E172</f>
        <v>0.35570000000000002</v>
      </c>
      <c r="G190" s="22">
        <f>Calculation!F172</f>
        <v>0.1779</v>
      </c>
      <c r="H190" s="23">
        <f>Calculation!G172</f>
        <v>6.6</v>
      </c>
      <c r="I190" s="24">
        <f>Calculation!J172</f>
        <v>7254</v>
      </c>
      <c r="J190" s="6" t="str">
        <f t="shared" si="2"/>
        <v>Moderate</v>
      </c>
    </row>
    <row r="191" spans="1:10" ht="15" customHeight="1">
      <c r="A191" s="7">
        <v>172</v>
      </c>
      <c r="B191" s="6" t="s">
        <v>613</v>
      </c>
      <c r="C191" s="7" t="s">
        <v>614</v>
      </c>
      <c r="D191" s="7" t="s">
        <v>606</v>
      </c>
      <c r="E191" s="39">
        <f>Calculation!D173</f>
        <v>40786</v>
      </c>
      <c r="F191" s="21">
        <f>Calculation!E173</f>
        <v>0.39560000000000001</v>
      </c>
      <c r="G191" s="22">
        <f>Calculation!F173</f>
        <v>0.1978</v>
      </c>
      <c r="H191" s="23">
        <f>Calculation!G173</f>
        <v>7.3</v>
      </c>
      <c r="I191" s="24">
        <f>Calculation!J173</f>
        <v>8067</v>
      </c>
      <c r="J191" s="6" t="str">
        <f t="shared" si="2"/>
        <v>Moderate</v>
      </c>
    </row>
    <row r="192" spans="1:10" ht="15" customHeight="1">
      <c r="A192" s="7">
        <v>173</v>
      </c>
      <c r="B192" s="6" t="s">
        <v>615</v>
      </c>
      <c r="C192" s="7" t="s">
        <v>616</v>
      </c>
      <c r="D192" s="7" t="s">
        <v>606</v>
      </c>
      <c r="E192" s="39">
        <f>Calculation!D174</f>
        <v>40786</v>
      </c>
      <c r="F192" s="21">
        <f>Calculation!E174</f>
        <v>0.67059999999999997</v>
      </c>
      <c r="G192" s="22">
        <f>Calculation!F174</f>
        <v>0.33529999999999999</v>
      </c>
      <c r="H192" s="23">
        <f>Calculation!G174</f>
        <v>12.4</v>
      </c>
      <c r="I192" s="24">
        <f>Calculation!J174</f>
        <v>13676</v>
      </c>
      <c r="J192" s="6" t="str">
        <f t="shared" si="2"/>
        <v>High</v>
      </c>
    </row>
    <row r="193" spans="1:10" ht="15" customHeight="1">
      <c r="A193" s="7">
        <v>174</v>
      </c>
      <c r="B193" s="6" t="s">
        <v>617</v>
      </c>
      <c r="C193" s="7" t="s">
        <v>618</v>
      </c>
      <c r="D193" s="7" t="s">
        <v>606</v>
      </c>
      <c r="E193" s="39">
        <f>Calculation!D175</f>
        <v>40786</v>
      </c>
      <c r="F193" s="21">
        <f>Calculation!E175</f>
        <v>0.56520000000000004</v>
      </c>
      <c r="G193" s="22">
        <f>Calculation!F175</f>
        <v>0.28260000000000002</v>
      </c>
      <c r="H193" s="23">
        <f>Calculation!G175</f>
        <v>10.5</v>
      </c>
      <c r="I193" s="24">
        <f>Calculation!J175</f>
        <v>11526</v>
      </c>
      <c r="J193" s="6" t="str">
        <f t="shared" si="2"/>
        <v>High</v>
      </c>
    </row>
    <row r="194" spans="1:10" ht="15" customHeight="1">
      <c r="A194" s="7">
        <v>175</v>
      </c>
      <c r="B194" s="6" t="s">
        <v>619</v>
      </c>
      <c r="C194" s="7" t="s">
        <v>620</v>
      </c>
      <c r="D194" s="7" t="s">
        <v>606</v>
      </c>
      <c r="E194" s="39">
        <f>Calculation!D176</f>
        <v>40786</v>
      </c>
      <c r="F194" s="21">
        <f>Calculation!E176</f>
        <v>0.70540000000000003</v>
      </c>
      <c r="G194" s="22">
        <f>Calculation!F176</f>
        <v>0.35270000000000001</v>
      </c>
      <c r="H194" s="23">
        <f>Calculation!G176</f>
        <v>13</v>
      </c>
      <c r="I194" s="24">
        <f>Calculation!J176</f>
        <v>14385</v>
      </c>
      <c r="J194" s="6" t="str">
        <f t="shared" si="2"/>
        <v>Transformative</v>
      </c>
    </row>
    <row r="195" spans="1:10" ht="15" customHeight="1">
      <c r="A195" s="7">
        <v>176</v>
      </c>
      <c r="B195" s="6" t="s">
        <v>621</v>
      </c>
      <c r="C195" s="7" t="s">
        <v>622</v>
      </c>
      <c r="D195" s="7" t="s">
        <v>606</v>
      </c>
      <c r="E195" s="39">
        <f>Calculation!D177</f>
        <v>40786</v>
      </c>
      <c r="F195" s="21">
        <f>Calculation!E177</f>
        <v>0.67430000000000001</v>
      </c>
      <c r="G195" s="22">
        <f>Calculation!F177</f>
        <v>0.3372</v>
      </c>
      <c r="H195" s="23">
        <f>Calculation!G177</f>
        <v>12.5</v>
      </c>
      <c r="I195" s="24">
        <f>Calculation!J177</f>
        <v>13751</v>
      </c>
      <c r="J195" s="6" t="str">
        <f t="shared" si="2"/>
        <v>High</v>
      </c>
    </row>
    <row r="196" spans="1:10" ht="15" customHeight="1">
      <c r="A196" s="7">
        <v>177</v>
      </c>
      <c r="B196" s="6" t="s">
        <v>623</v>
      </c>
      <c r="C196" s="7" t="s">
        <v>624</v>
      </c>
      <c r="D196" s="7" t="s">
        <v>606</v>
      </c>
      <c r="E196" s="39">
        <f>Calculation!D178</f>
        <v>40786</v>
      </c>
      <c r="F196" s="21">
        <f>Calculation!E178</f>
        <v>0.68540000000000001</v>
      </c>
      <c r="G196" s="22">
        <f>Calculation!F178</f>
        <v>0.3427</v>
      </c>
      <c r="H196" s="23">
        <f>Calculation!G178</f>
        <v>12.7</v>
      </c>
      <c r="I196" s="24">
        <f>Calculation!J178</f>
        <v>13977</v>
      </c>
      <c r="J196" s="6" t="str">
        <f t="shared" si="2"/>
        <v>High</v>
      </c>
    </row>
    <row r="197" spans="1:10" ht="15" customHeight="1">
      <c r="A197" s="7">
        <v>178</v>
      </c>
      <c r="B197" s="6" t="s">
        <v>625</v>
      </c>
      <c r="C197" s="7" t="s">
        <v>626</v>
      </c>
      <c r="D197" s="7" t="s">
        <v>606</v>
      </c>
      <c r="E197" s="39">
        <f>Calculation!D179</f>
        <v>40786</v>
      </c>
      <c r="F197" s="21">
        <f>Calculation!E179</f>
        <v>0.28599999999999998</v>
      </c>
      <c r="G197" s="22">
        <f>Calculation!F179</f>
        <v>0.14299999999999999</v>
      </c>
      <c r="H197" s="23">
        <f>Calculation!G179</f>
        <v>5.3</v>
      </c>
      <c r="I197" s="24">
        <f>Calculation!J179</f>
        <v>5832</v>
      </c>
      <c r="J197" s="6" t="str">
        <f t="shared" si="2"/>
        <v>Low</v>
      </c>
    </row>
    <row r="198" spans="1:10" ht="15" customHeight="1">
      <c r="A198" s="7">
        <v>179</v>
      </c>
      <c r="B198" s="6" t="s">
        <v>627</v>
      </c>
      <c r="C198" s="7" t="s">
        <v>628</v>
      </c>
      <c r="D198" s="7" t="s">
        <v>606</v>
      </c>
      <c r="E198" s="39">
        <f>Calculation!D180</f>
        <v>40786</v>
      </c>
      <c r="F198" s="21">
        <f>Calculation!E180</f>
        <v>0.53690000000000004</v>
      </c>
      <c r="G198" s="22">
        <f>Calculation!F180</f>
        <v>0.26840000000000003</v>
      </c>
      <c r="H198" s="23">
        <f>Calculation!G180</f>
        <v>9.9</v>
      </c>
      <c r="I198" s="24">
        <f>Calculation!J180</f>
        <v>10949</v>
      </c>
      <c r="J198" s="6" t="str">
        <f t="shared" si="2"/>
        <v>High</v>
      </c>
    </row>
    <row r="199" spans="1:10" ht="15" customHeight="1">
      <c r="A199" s="7">
        <v>180</v>
      </c>
      <c r="B199" s="6" t="s">
        <v>629</v>
      </c>
      <c r="C199" s="7" t="s">
        <v>630</v>
      </c>
      <c r="D199" s="7" t="s">
        <v>606</v>
      </c>
      <c r="E199" s="39">
        <f>Calculation!D181</f>
        <v>40786</v>
      </c>
      <c r="F199" s="21">
        <f>Calculation!E181</f>
        <v>0.51259999999999994</v>
      </c>
      <c r="G199" s="22">
        <f>Calculation!F181</f>
        <v>0.25629999999999997</v>
      </c>
      <c r="H199" s="23">
        <f>Calculation!G181</f>
        <v>9.5</v>
      </c>
      <c r="I199" s="24">
        <f>Calculation!J181</f>
        <v>10453</v>
      </c>
      <c r="J199" s="6" t="str">
        <f t="shared" si="2"/>
        <v>High</v>
      </c>
    </row>
    <row r="200" spans="1:10" ht="15" customHeight="1">
      <c r="A200" s="7">
        <v>181</v>
      </c>
      <c r="B200" s="6" t="s">
        <v>631</v>
      </c>
      <c r="C200" s="7" t="s">
        <v>632</v>
      </c>
      <c r="D200" s="7" t="s">
        <v>606</v>
      </c>
      <c r="E200" s="39">
        <f>Calculation!D182</f>
        <v>40786</v>
      </c>
      <c r="F200" s="21">
        <f>Calculation!E182</f>
        <v>0.43919999999999998</v>
      </c>
      <c r="G200" s="22">
        <f>Calculation!F182</f>
        <v>0.21959999999999999</v>
      </c>
      <c r="H200" s="23">
        <f>Calculation!G182</f>
        <v>8.1</v>
      </c>
      <c r="I200" s="24">
        <f>Calculation!J182</f>
        <v>8957</v>
      </c>
      <c r="J200" s="6" t="str">
        <f t="shared" si="2"/>
        <v>Moderate</v>
      </c>
    </row>
    <row r="201" spans="1:10" ht="15" customHeight="1">
      <c r="A201" s="7">
        <v>182</v>
      </c>
      <c r="B201" s="6" t="s">
        <v>633</v>
      </c>
      <c r="C201" s="7" t="s">
        <v>634</v>
      </c>
      <c r="D201" s="7" t="s">
        <v>635</v>
      </c>
      <c r="E201" s="39">
        <f>Calculation!D183</f>
        <v>64618</v>
      </c>
      <c r="F201" s="21">
        <f>Calculation!E183</f>
        <v>0.58279999999999998</v>
      </c>
      <c r="G201" s="22">
        <f>Calculation!F183</f>
        <v>0.29139999999999999</v>
      </c>
      <c r="H201" s="23">
        <f>Calculation!G183</f>
        <v>10.8</v>
      </c>
      <c r="I201" s="24">
        <f>Calculation!J183</f>
        <v>18830</v>
      </c>
      <c r="J201" s="6" t="str">
        <f t="shared" si="2"/>
        <v>High</v>
      </c>
    </row>
    <row r="202" spans="1:10" ht="15" customHeight="1">
      <c r="A202" s="7">
        <v>183</v>
      </c>
      <c r="B202" s="6" t="s">
        <v>636</v>
      </c>
      <c r="C202" s="7" t="s">
        <v>637</v>
      </c>
      <c r="D202" s="7" t="s">
        <v>635</v>
      </c>
      <c r="E202" s="39">
        <f>Calculation!D184</f>
        <v>64618</v>
      </c>
      <c r="F202" s="21">
        <f>Calculation!E184</f>
        <v>0.54720000000000002</v>
      </c>
      <c r="G202" s="22">
        <f>Calculation!F184</f>
        <v>0.27360000000000001</v>
      </c>
      <c r="H202" s="23">
        <f>Calculation!G184</f>
        <v>10.1</v>
      </c>
      <c r="I202" s="24">
        <f>Calculation!J184</f>
        <v>17679</v>
      </c>
      <c r="J202" s="6" t="str">
        <f t="shared" si="2"/>
        <v>High</v>
      </c>
    </row>
    <row r="203" spans="1:10" ht="15" customHeight="1">
      <c r="A203" s="7">
        <v>184</v>
      </c>
      <c r="B203" s="6" t="s">
        <v>638</v>
      </c>
      <c r="C203" s="7" t="s">
        <v>639</v>
      </c>
      <c r="D203" s="7" t="s">
        <v>635</v>
      </c>
      <c r="E203" s="39">
        <f>Calculation!D185</f>
        <v>64618</v>
      </c>
      <c r="F203" s="21">
        <f>Calculation!E185</f>
        <v>0.26329999999999998</v>
      </c>
      <c r="G203" s="22">
        <f>Calculation!F185</f>
        <v>0.13170000000000001</v>
      </c>
      <c r="H203" s="23">
        <f>Calculation!G185</f>
        <v>4.9000000000000004</v>
      </c>
      <c r="I203" s="24">
        <f>Calculation!J185</f>
        <v>8507</v>
      </c>
      <c r="J203" s="6" t="str">
        <f t="shared" si="2"/>
        <v>Low</v>
      </c>
    </row>
    <row r="204" spans="1:10" ht="15" customHeight="1">
      <c r="A204" s="7">
        <v>185</v>
      </c>
      <c r="B204" s="6" t="s">
        <v>640</v>
      </c>
      <c r="C204" s="7" t="s">
        <v>641</v>
      </c>
      <c r="D204" s="7" t="s">
        <v>635</v>
      </c>
      <c r="E204" s="39">
        <f>Calculation!D186</f>
        <v>64618</v>
      </c>
      <c r="F204" s="21">
        <f>Calculation!E186</f>
        <v>0.69389999999999996</v>
      </c>
      <c r="G204" s="22">
        <f>Calculation!F186</f>
        <v>0.34689999999999999</v>
      </c>
      <c r="H204" s="23">
        <f>Calculation!G186</f>
        <v>12.8</v>
      </c>
      <c r="I204" s="24">
        <f>Calculation!J186</f>
        <v>22419</v>
      </c>
      <c r="J204" s="6" t="str">
        <f t="shared" si="2"/>
        <v>High</v>
      </c>
    </row>
    <row r="205" spans="1:10" ht="15" customHeight="1">
      <c r="A205" s="7">
        <v>186</v>
      </c>
      <c r="B205" s="6" t="s">
        <v>642</v>
      </c>
      <c r="C205" s="7" t="s">
        <v>643</v>
      </c>
      <c r="D205" s="7" t="s">
        <v>635</v>
      </c>
      <c r="E205" s="39">
        <f>Calculation!D187</f>
        <v>64618</v>
      </c>
      <c r="F205" s="21">
        <f>Calculation!E187</f>
        <v>0.74319999999999997</v>
      </c>
      <c r="G205" s="22">
        <f>Calculation!F187</f>
        <v>0.37159999999999999</v>
      </c>
      <c r="H205" s="23">
        <f>Calculation!G187</f>
        <v>13.7</v>
      </c>
      <c r="I205" s="24">
        <f>Calculation!J187</f>
        <v>24012</v>
      </c>
      <c r="J205" s="6" t="str">
        <f t="shared" si="2"/>
        <v>Transformative</v>
      </c>
    </row>
    <row r="206" spans="1:10" ht="15" customHeight="1">
      <c r="A206" s="7">
        <v>187</v>
      </c>
      <c r="B206" s="6" t="s">
        <v>644</v>
      </c>
      <c r="C206" s="7" t="s">
        <v>645</v>
      </c>
      <c r="D206" s="7" t="s">
        <v>635</v>
      </c>
      <c r="E206" s="39">
        <f>Calculation!D188</f>
        <v>64618</v>
      </c>
      <c r="F206" s="21">
        <f>Calculation!E188</f>
        <v>0.65780000000000005</v>
      </c>
      <c r="G206" s="22">
        <f>Calculation!F188</f>
        <v>0.32890000000000003</v>
      </c>
      <c r="H206" s="23">
        <f>Calculation!G188</f>
        <v>12.2</v>
      </c>
      <c r="I206" s="24">
        <f>Calculation!J188</f>
        <v>21253</v>
      </c>
      <c r="J206" s="6" t="str">
        <f t="shared" si="2"/>
        <v>High</v>
      </c>
    </row>
    <row r="207" spans="1:10" ht="15" customHeight="1">
      <c r="A207" s="7">
        <v>188</v>
      </c>
      <c r="B207" s="6" t="s">
        <v>646</v>
      </c>
      <c r="C207" s="7" t="s">
        <v>647</v>
      </c>
      <c r="D207" s="7" t="s">
        <v>635</v>
      </c>
      <c r="E207" s="39">
        <f>Calculation!D189</f>
        <v>64618</v>
      </c>
      <c r="F207" s="21">
        <f>Calculation!E189</f>
        <v>0.73170000000000002</v>
      </c>
      <c r="G207" s="22">
        <f>Calculation!F189</f>
        <v>0.3659</v>
      </c>
      <c r="H207" s="23">
        <f>Calculation!G189</f>
        <v>13.5</v>
      </c>
      <c r="I207" s="24">
        <f>Calculation!J189</f>
        <v>23640</v>
      </c>
      <c r="J207" s="6" t="str">
        <f t="shared" si="2"/>
        <v>Transformative</v>
      </c>
    </row>
    <row r="208" spans="1:10" ht="15" customHeight="1">
      <c r="A208" s="7">
        <v>189</v>
      </c>
      <c r="B208" s="6" t="s">
        <v>648</v>
      </c>
      <c r="C208" s="7" t="s">
        <v>649</v>
      </c>
      <c r="D208" s="7" t="s">
        <v>635</v>
      </c>
      <c r="E208" s="39">
        <f>Calculation!D190</f>
        <v>64618</v>
      </c>
      <c r="F208" s="21">
        <f>Calculation!E190</f>
        <v>0.69179999999999997</v>
      </c>
      <c r="G208" s="22">
        <f>Calculation!F190</f>
        <v>0.34589999999999999</v>
      </c>
      <c r="H208" s="23">
        <f>Calculation!G190</f>
        <v>12.8</v>
      </c>
      <c r="I208" s="24">
        <f>Calculation!J190</f>
        <v>22351</v>
      </c>
      <c r="J208" s="6" t="str">
        <f t="shared" si="2"/>
        <v>High</v>
      </c>
    </row>
    <row r="209" spans="1:10" ht="15" customHeight="1">
      <c r="A209" s="7">
        <v>190</v>
      </c>
      <c r="B209" s="6" t="s">
        <v>650</v>
      </c>
      <c r="C209" s="7" t="s">
        <v>651</v>
      </c>
      <c r="D209" s="7" t="s">
        <v>635</v>
      </c>
      <c r="E209" s="39">
        <f>Calculation!D191</f>
        <v>64618</v>
      </c>
      <c r="F209" s="21">
        <f>Calculation!E191</f>
        <v>0.75829999999999997</v>
      </c>
      <c r="G209" s="22">
        <f>Calculation!F191</f>
        <v>0.37909999999999999</v>
      </c>
      <c r="H209" s="23">
        <f>Calculation!G191</f>
        <v>14</v>
      </c>
      <c r="I209" s="24">
        <f>Calculation!J191</f>
        <v>24500</v>
      </c>
      <c r="J209" s="6" t="str">
        <f t="shared" si="2"/>
        <v>Transformative</v>
      </c>
    </row>
    <row r="210" spans="1:10" ht="15" customHeight="1">
      <c r="A210" s="7">
        <v>191</v>
      </c>
      <c r="B210" s="6" t="s">
        <v>652</v>
      </c>
      <c r="C210" s="7" t="s">
        <v>653</v>
      </c>
      <c r="D210" s="7" t="s">
        <v>635</v>
      </c>
      <c r="E210" s="39">
        <f>Calculation!D192</f>
        <v>64618</v>
      </c>
      <c r="F210" s="21">
        <f>Calculation!E192</f>
        <v>0.67100000000000004</v>
      </c>
      <c r="G210" s="22">
        <f>Calculation!F192</f>
        <v>0.33550000000000002</v>
      </c>
      <c r="H210" s="23">
        <f>Calculation!G192</f>
        <v>12.4</v>
      </c>
      <c r="I210" s="24">
        <f>Calculation!J192</f>
        <v>21679</v>
      </c>
      <c r="J210" s="6" t="str">
        <f t="shared" si="2"/>
        <v>High</v>
      </c>
    </row>
    <row r="211" spans="1:10" ht="15" customHeight="1">
      <c r="A211" s="7">
        <v>192</v>
      </c>
      <c r="B211" s="6" t="s">
        <v>654</v>
      </c>
      <c r="C211" s="7" t="s">
        <v>655</v>
      </c>
      <c r="D211" s="7" t="s">
        <v>635</v>
      </c>
      <c r="E211" s="39">
        <f>Calculation!D193</f>
        <v>64618</v>
      </c>
      <c r="F211" s="21">
        <f>Calculation!E193</f>
        <v>0.71209999999999996</v>
      </c>
      <c r="G211" s="22">
        <f>Calculation!F193</f>
        <v>0.35599999999999998</v>
      </c>
      <c r="H211" s="23">
        <f>Calculation!G193</f>
        <v>13.2</v>
      </c>
      <c r="I211" s="24">
        <f>Calculation!J193</f>
        <v>23007</v>
      </c>
      <c r="J211" s="6" t="str">
        <f t="shared" si="2"/>
        <v>Transformative</v>
      </c>
    </row>
    <row r="212" spans="1:10" ht="15" customHeight="1">
      <c r="A212" s="7">
        <v>193</v>
      </c>
      <c r="B212" s="6" t="s">
        <v>656</v>
      </c>
      <c r="C212" s="7" t="s">
        <v>657</v>
      </c>
      <c r="D212" s="7" t="s">
        <v>635</v>
      </c>
      <c r="E212" s="39">
        <f>Calculation!D194</f>
        <v>64618</v>
      </c>
      <c r="F212" s="21">
        <f>Calculation!E194</f>
        <v>0.70489999999999997</v>
      </c>
      <c r="G212" s="22">
        <f>Calculation!F194</f>
        <v>0.35239999999999999</v>
      </c>
      <c r="H212" s="23">
        <f>Calculation!G194</f>
        <v>13</v>
      </c>
      <c r="I212" s="24">
        <f>Calculation!J194</f>
        <v>22775</v>
      </c>
      <c r="J212" s="6" t="str">
        <f t="shared" ref="J212:J275" si="3">IF(G212&gt;=35%,"Transformative",IF(G212&gt;=25%,"High",IF(G212&gt;=15%,"Moderate","Low")))</f>
        <v>Transformative</v>
      </c>
    </row>
    <row r="213" spans="1:10" ht="15" customHeight="1">
      <c r="A213" s="7">
        <v>194</v>
      </c>
      <c r="B213" s="6" t="s">
        <v>658</v>
      </c>
      <c r="C213" s="7" t="s">
        <v>659</v>
      </c>
      <c r="D213" s="7" t="s">
        <v>635</v>
      </c>
      <c r="E213" s="39">
        <f>Calculation!D195</f>
        <v>64618</v>
      </c>
      <c r="F213" s="21">
        <f>Calculation!E195</f>
        <v>0.65210000000000001</v>
      </c>
      <c r="G213" s="22">
        <f>Calculation!F195</f>
        <v>0.32600000000000001</v>
      </c>
      <c r="H213" s="23">
        <f>Calculation!G195</f>
        <v>12.1</v>
      </c>
      <c r="I213" s="24">
        <f>Calculation!J195</f>
        <v>21069</v>
      </c>
      <c r="J213" s="6" t="str">
        <f t="shared" si="3"/>
        <v>High</v>
      </c>
    </row>
    <row r="214" spans="1:10" ht="15" customHeight="1">
      <c r="A214" s="7">
        <v>195</v>
      </c>
      <c r="B214" s="6" t="s">
        <v>660</v>
      </c>
      <c r="C214" s="7" t="s">
        <v>661</v>
      </c>
      <c r="D214" s="7" t="s">
        <v>635</v>
      </c>
      <c r="E214" s="39">
        <f>Calculation!D196</f>
        <v>64618</v>
      </c>
      <c r="F214" s="21">
        <f>Calculation!E196</f>
        <v>0.65720000000000001</v>
      </c>
      <c r="G214" s="22">
        <f>Calculation!F196</f>
        <v>0.3286</v>
      </c>
      <c r="H214" s="23">
        <f>Calculation!G196</f>
        <v>12.2</v>
      </c>
      <c r="I214" s="24">
        <f>Calculation!J196</f>
        <v>21233</v>
      </c>
      <c r="J214" s="6" t="str">
        <f t="shared" si="3"/>
        <v>High</v>
      </c>
    </row>
    <row r="215" spans="1:10" ht="15" customHeight="1">
      <c r="A215" s="7">
        <v>196</v>
      </c>
      <c r="B215" s="6" t="s">
        <v>662</v>
      </c>
      <c r="C215" s="7" t="s">
        <v>663</v>
      </c>
      <c r="D215" s="7" t="s">
        <v>635</v>
      </c>
      <c r="E215" s="39">
        <f>Calculation!D197</f>
        <v>64618</v>
      </c>
      <c r="F215" s="21">
        <f>Calculation!E197</f>
        <v>0.65290000000000004</v>
      </c>
      <c r="G215" s="22">
        <f>Calculation!F197</f>
        <v>0.32650000000000001</v>
      </c>
      <c r="H215" s="23">
        <f>Calculation!G197</f>
        <v>12.1</v>
      </c>
      <c r="I215" s="24">
        <f>Calculation!J197</f>
        <v>21095</v>
      </c>
      <c r="J215" s="6" t="str">
        <f t="shared" si="3"/>
        <v>High</v>
      </c>
    </row>
    <row r="216" spans="1:10" ht="15" customHeight="1">
      <c r="A216" s="7">
        <v>197</v>
      </c>
      <c r="B216" s="6" t="s">
        <v>664</v>
      </c>
      <c r="C216" s="7" t="s">
        <v>665</v>
      </c>
      <c r="D216" s="7" t="s">
        <v>635</v>
      </c>
      <c r="E216" s="39">
        <f>Calculation!D198</f>
        <v>64618</v>
      </c>
      <c r="F216" s="21">
        <f>Calculation!E198</f>
        <v>0.80349999999999999</v>
      </c>
      <c r="G216" s="22">
        <f>Calculation!F198</f>
        <v>0.4017</v>
      </c>
      <c r="H216" s="23">
        <f>Calculation!G198</f>
        <v>14.9</v>
      </c>
      <c r="I216" s="24">
        <f>Calculation!J198</f>
        <v>25960</v>
      </c>
      <c r="J216" s="6" t="str">
        <f t="shared" si="3"/>
        <v>Transformative</v>
      </c>
    </row>
    <row r="217" spans="1:10" ht="15" customHeight="1">
      <c r="A217" s="7">
        <v>198</v>
      </c>
      <c r="B217" s="6" t="s">
        <v>666</v>
      </c>
      <c r="C217" s="7" t="s">
        <v>667</v>
      </c>
      <c r="D217" s="7" t="s">
        <v>635</v>
      </c>
      <c r="E217" s="39">
        <f>Calculation!D199</f>
        <v>64618</v>
      </c>
      <c r="F217" s="21">
        <f>Calculation!E199</f>
        <v>0.70569999999999999</v>
      </c>
      <c r="G217" s="22">
        <f>Calculation!F199</f>
        <v>0.3528</v>
      </c>
      <c r="H217" s="23">
        <f>Calculation!G199</f>
        <v>13.1</v>
      </c>
      <c r="I217" s="24">
        <f>Calculation!J199</f>
        <v>22800</v>
      </c>
      <c r="J217" s="6" t="str">
        <f t="shared" si="3"/>
        <v>Transformative</v>
      </c>
    </row>
    <row r="218" spans="1:10" ht="15" customHeight="1">
      <c r="A218" s="7">
        <v>199</v>
      </c>
      <c r="B218" s="6" t="s">
        <v>668</v>
      </c>
      <c r="C218" s="7" t="s">
        <v>669</v>
      </c>
      <c r="D218" s="7" t="s">
        <v>635</v>
      </c>
      <c r="E218" s="39">
        <f>Calculation!D200</f>
        <v>64618</v>
      </c>
      <c r="F218" s="21">
        <f>Calculation!E200</f>
        <v>0.67989999999999995</v>
      </c>
      <c r="G218" s="22">
        <f>Calculation!F200</f>
        <v>0.33989999999999998</v>
      </c>
      <c r="H218" s="23">
        <f>Calculation!G200</f>
        <v>12.6</v>
      </c>
      <c r="I218" s="24">
        <f>Calculation!J200</f>
        <v>21967</v>
      </c>
      <c r="J218" s="6" t="str">
        <f t="shared" si="3"/>
        <v>High</v>
      </c>
    </row>
    <row r="219" spans="1:10" ht="15" customHeight="1">
      <c r="A219" s="7">
        <v>200</v>
      </c>
      <c r="B219" s="6" t="s">
        <v>670</v>
      </c>
      <c r="C219" s="7" t="s">
        <v>671</v>
      </c>
      <c r="D219" s="7" t="s">
        <v>635</v>
      </c>
      <c r="E219" s="39">
        <f>Calculation!D201</f>
        <v>64618</v>
      </c>
      <c r="F219" s="21">
        <f>Calculation!E201</f>
        <v>0.68100000000000005</v>
      </c>
      <c r="G219" s="22">
        <f>Calculation!F201</f>
        <v>0.34050000000000002</v>
      </c>
      <c r="H219" s="23">
        <f>Calculation!G201</f>
        <v>12.6</v>
      </c>
      <c r="I219" s="24">
        <f>Calculation!J201</f>
        <v>22002</v>
      </c>
      <c r="J219" s="6" t="str">
        <f t="shared" si="3"/>
        <v>High</v>
      </c>
    </row>
    <row r="220" spans="1:10" ht="15" customHeight="1">
      <c r="A220" s="7">
        <v>201</v>
      </c>
      <c r="B220" s="6" t="s">
        <v>672</v>
      </c>
      <c r="C220" s="7" t="s">
        <v>673</v>
      </c>
      <c r="D220" s="7" t="s">
        <v>635</v>
      </c>
      <c r="E220" s="39">
        <f>Calculation!D202</f>
        <v>64618</v>
      </c>
      <c r="F220" s="21">
        <f>Calculation!E202</f>
        <v>0.67059999999999997</v>
      </c>
      <c r="G220" s="22">
        <f>Calculation!F202</f>
        <v>0.33529999999999999</v>
      </c>
      <c r="H220" s="23">
        <f>Calculation!G202</f>
        <v>12.4</v>
      </c>
      <c r="I220" s="24">
        <f>Calculation!J202</f>
        <v>21666</v>
      </c>
      <c r="J220" s="6" t="str">
        <f t="shared" si="3"/>
        <v>High</v>
      </c>
    </row>
    <row r="221" spans="1:10" ht="15" customHeight="1">
      <c r="A221" s="7">
        <v>202</v>
      </c>
      <c r="B221" s="6" t="s">
        <v>674</v>
      </c>
      <c r="C221" s="7" t="s">
        <v>675</v>
      </c>
      <c r="D221" s="7" t="s">
        <v>635</v>
      </c>
      <c r="E221" s="39">
        <f>Calculation!D203</f>
        <v>64618</v>
      </c>
      <c r="F221" s="21">
        <f>Calculation!E203</f>
        <v>0.60029999999999994</v>
      </c>
      <c r="G221" s="22">
        <f>Calculation!F203</f>
        <v>0.30020000000000002</v>
      </c>
      <c r="H221" s="23">
        <f>Calculation!G203</f>
        <v>11.1</v>
      </c>
      <c r="I221" s="24">
        <f>Calculation!J203</f>
        <v>19395</v>
      </c>
      <c r="J221" s="6" t="str">
        <f t="shared" si="3"/>
        <v>High</v>
      </c>
    </row>
    <row r="222" spans="1:10" ht="15" customHeight="1">
      <c r="A222" s="7">
        <v>203</v>
      </c>
      <c r="B222" s="6" t="s">
        <v>676</v>
      </c>
      <c r="C222" s="7" t="s">
        <v>677</v>
      </c>
      <c r="D222" s="7" t="s">
        <v>635</v>
      </c>
      <c r="E222" s="39">
        <f>Calculation!D204</f>
        <v>64618</v>
      </c>
      <c r="F222" s="21">
        <f>Calculation!E204</f>
        <v>0.64810000000000001</v>
      </c>
      <c r="G222" s="22">
        <f>Calculation!F204</f>
        <v>0.3241</v>
      </c>
      <c r="H222" s="23">
        <f>Calculation!G204</f>
        <v>12</v>
      </c>
      <c r="I222" s="24">
        <f>Calculation!J204</f>
        <v>20939</v>
      </c>
      <c r="J222" s="6" t="str">
        <f t="shared" si="3"/>
        <v>High</v>
      </c>
    </row>
    <row r="223" spans="1:10" ht="15" customHeight="1">
      <c r="A223" s="7">
        <v>204</v>
      </c>
      <c r="B223" s="6" t="s">
        <v>678</v>
      </c>
      <c r="C223" s="7" t="s">
        <v>679</v>
      </c>
      <c r="D223" s="7" t="s">
        <v>635</v>
      </c>
      <c r="E223" s="39">
        <f>Calculation!D205</f>
        <v>64618</v>
      </c>
      <c r="F223" s="21">
        <f>Calculation!E205</f>
        <v>0.63200000000000001</v>
      </c>
      <c r="G223" s="22">
        <f>Calculation!F205</f>
        <v>0.316</v>
      </c>
      <c r="H223" s="23">
        <f>Calculation!G205</f>
        <v>11.7</v>
      </c>
      <c r="I223" s="24">
        <f>Calculation!J205</f>
        <v>20419</v>
      </c>
      <c r="J223" s="6" t="str">
        <f t="shared" si="3"/>
        <v>High</v>
      </c>
    </row>
    <row r="224" spans="1:10" ht="15" customHeight="1">
      <c r="A224" s="7">
        <v>205</v>
      </c>
      <c r="B224" s="6" t="s">
        <v>680</v>
      </c>
      <c r="C224" s="7" t="s">
        <v>681</v>
      </c>
      <c r="D224" s="7" t="s">
        <v>635</v>
      </c>
      <c r="E224" s="39">
        <f>Calculation!D206</f>
        <v>64618</v>
      </c>
      <c r="F224" s="21">
        <f>Calculation!E206</f>
        <v>0.60029999999999994</v>
      </c>
      <c r="G224" s="22">
        <f>Calculation!F206</f>
        <v>0.30020000000000002</v>
      </c>
      <c r="H224" s="23">
        <f>Calculation!G206</f>
        <v>11.1</v>
      </c>
      <c r="I224" s="24">
        <f>Calculation!J206</f>
        <v>19395</v>
      </c>
      <c r="J224" s="6" t="str">
        <f t="shared" si="3"/>
        <v>High</v>
      </c>
    </row>
    <row r="225" spans="1:10" ht="15" customHeight="1">
      <c r="A225" s="7">
        <v>206</v>
      </c>
      <c r="B225" s="6" t="s">
        <v>682</v>
      </c>
      <c r="C225" s="7" t="s">
        <v>683</v>
      </c>
      <c r="D225" s="7" t="s">
        <v>635</v>
      </c>
      <c r="E225" s="39">
        <f>Calculation!D207</f>
        <v>64618</v>
      </c>
      <c r="F225" s="21">
        <f>Calculation!E207</f>
        <v>0.67989999999999995</v>
      </c>
      <c r="G225" s="22">
        <f>Calculation!F207</f>
        <v>0.33989999999999998</v>
      </c>
      <c r="H225" s="23">
        <f>Calculation!G207</f>
        <v>12.6</v>
      </c>
      <c r="I225" s="24">
        <f>Calculation!J207</f>
        <v>21967</v>
      </c>
      <c r="J225" s="6" t="str">
        <f t="shared" si="3"/>
        <v>High</v>
      </c>
    </row>
    <row r="226" spans="1:10" ht="15" customHeight="1">
      <c r="A226" s="7">
        <v>207</v>
      </c>
      <c r="B226" s="6" t="s">
        <v>684</v>
      </c>
      <c r="C226" s="7" t="s">
        <v>685</v>
      </c>
      <c r="D226" s="7" t="s">
        <v>635</v>
      </c>
      <c r="E226" s="39">
        <f>Calculation!D208</f>
        <v>64618</v>
      </c>
      <c r="F226" s="21">
        <f>Calculation!E208</f>
        <v>0.63349999999999995</v>
      </c>
      <c r="G226" s="22">
        <f>Calculation!F208</f>
        <v>0.31680000000000003</v>
      </c>
      <c r="H226" s="23">
        <f>Calculation!G208</f>
        <v>11.7</v>
      </c>
      <c r="I226" s="24">
        <f>Calculation!J208</f>
        <v>20468</v>
      </c>
      <c r="J226" s="6" t="str">
        <f t="shared" si="3"/>
        <v>High</v>
      </c>
    </row>
    <row r="227" spans="1:10" ht="15" customHeight="1">
      <c r="A227" s="7">
        <v>208</v>
      </c>
      <c r="B227" s="6" t="s">
        <v>686</v>
      </c>
      <c r="C227" s="7" t="s">
        <v>687</v>
      </c>
      <c r="D227" s="7" t="s">
        <v>635</v>
      </c>
      <c r="E227" s="39">
        <f>Calculation!D209</f>
        <v>64618</v>
      </c>
      <c r="F227" s="21">
        <f>Calculation!E209</f>
        <v>0.65080000000000005</v>
      </c>
      <c r="G227" s="22">
        <f>Calculation!F209</f>
        <v>0.32540000000000002</v>
      </c>
      <c r="H227" s="23">
        <f>Calculation!G209</f>
        <v>12</v>
      </c>
      <c r="I227" s="24">
        <f>Calculation!J209</f>
        <v>21027</v>
      </c>
      <c r="J227" s="6" t="str">
        <f t="shared" si="3"/>
        <v>High</v>
      </c>
    </row>
    <row r="228" spans="1:10" ht="15" customHeight="1">
      <c r="A228" s="7">
        <v>209</v>
      </c>
      <c r="B228" s="6" t="s">
        <v>688</v>
      </c>
      <c r="C228" s="7" t="s">
        <v>689</v>
      </c>
      <c r="D228" s="7" t="s">
        <v>635</v>
      </c>
      <c r="E228" s="39">
        <f>Calculation!D210</f>
        <v>64618</v>
      </c>
      <c r="F228" s="21">
        <f>Calculation!E210</f>
        <v>0.625</v>
      </c>
      <c r="G228" s="22">
        <f>Calculation!F210</f>
        <v>0.3125</v>
      </c>
      <c r="H228" s="23">
        <f>Calculation!G210</f>
        <v>11.6</v>
      </c>
      <c r="I228" s="24">
        <f>Calculation!J210</f>
        <v>20193</v>
      </c>
      <c r="J228" s="6" t="str">
        <f t="shared" si="3"/>
        <v>High</v>
      </c>
    </row>
    <row r="229" spans="1:10" ht="15" customHeight="1">
      <c r="A229" s="7">
        <v>210</v>
      </c>
      <c r="B229" s="6" t="s">
        <v>690</v>
      </c>
      <c r="C229" s="7" t="s">
        <v>691</v>
      </c>
      <c r="D229" s="7" t="s">
        <v>635</v>
      </c>
      <c r="E229" s="39">
        <f>Calculation!D211</f>
        <v>64618</v>
      </c>
      <c r="F229" s="21">
        <f>Calculation!E211</f>
        <v>0.68100000000000005</v>
      </c>
      <c r="G229" s="22">
        <f>Calculation!F211</f>
        <v>0.34050000000000002</v>
      </c>
      <c r="H229" s="23">
        <f>Calculation!G211</f>
        <v>12.6</v>
      </c>
      <c r="I229" s="24">
        <f>Calculation!J211</f>
        <v>22002</v>
      </c>
      <c r="J229" s="6" t="str">
        <f t="shared" si="3"/>
        <v>High</v>
      </c>
    </row>
    <row r="230" spans="1:10" ht="15" customHeight="1">
      <c r="A230" s="7">
        <v>211</v>
      </c>
      <c r="B230" s="6" t="s">
        <v>692</v>
      </c>
      <c r="C230" s="7" t="s">
        <v>693</v>
      </c>
      <c r="D230" s="7" t="s">
        <v>635</v>
      </c>
      <c r="E230" s="39">
        <f>Calculation!D212</f>
        <v>64618</v>
      </c>
      <c r="F230" s="21">
        <f>Calculation!E212</f>
        <v>0.65700000000000003</v>
      </c>
      <c r="G230" s="22">
        <f>Calculation!F212</f>
        <v>0.32850000000000001</v>
      </c>
      <c r="H230" s="23">
        <f>Calculation!G212</f>
        <v>12.2</v>
      </c>
      <c r="I230" s="24">
        <f>Calculation!J212</f>
        <v>21227</v>
      </c>
      <c r="J230" s="6" t="str">
        <f t="shared" si="3"/>
        <v>High</v>
      </c>
    </row>
    <row r="231" spans="1:10" ht="15" customHeight="1">
      <c r="A231" s="7">
        <v>212</v>
      </c>
      <c r="B231" s="6" t="s">
        <v>694</v>
      </c>
      <c r="C231" s="7" t="s">
        <v>695</v>
      </c>
      <c r="D231" s="7" t="s">
        <v>635</v>
      </c>
      <c r="E231" s="39">
        <f>Calculation!D213</f>
        <v>64618</v>
      </c>
      <c r="F231" s="21">
        <f>Calculation!E213</f>
        <v>0.64319999999999999</v>
      </c>
      <c r="G231" s="22">
        <f>Calculation!F213</f>
        <v>0.3216</v>
      </c>
      <c r="H231" s="23">
        <f>Calculation!G213</f>
        <v>11.9</v>
      </c>
      <c r="I231" s="24">
        <f>Calculation!J213</f>
        <v>20781</v>
      </c>
      <c r="J231" s="6" t="str">
        <f t="shared" si="3"/>
        <v>High</v>
      </c>
    </row>
    <row r="232" spans="1:10" ht="15" customHeight="1">
      <c r="A232" s="7">
        <v>213</v>
      </c>
      <c r="B232" s="6" t="s">
        <v>696</v>
      </c>
      <c r="C232" s="7" t="s">
        <v>689</v>
      </c>
      <c r="D232" s="7" t="s">
        <v>635</v>
      </c>
      <c r="E232" s="39">
        <f>Calculation!D214</f>
        <v>64618</v>
      </c>
      <c r="F232" s="21">
        <f>Calculation!E214</f>
        <v>0.625</v>
      </c>
      <c r="G232" s="22">
        <f>Calculation!F214</f>
        <v>0.3125</v>
      </c>
      <c r="H232" s="23">
        <f>Calculation!G214</f>
        <v>11.6</v>
      </c>
      <c r="I232" s="24">
        <f>Calculation!J214</f>
        <v>20193</v>
      </c>
      <c r="J232" s="6" t="str">
        <f t="shared" si="3"/>
        <v>High</v>
      </c>
    </row>
    <row r="233" spans="1:10" ht="15" customHeight="1">
      <c r="A233" s="7">
        <v>214</v>
      </c>
      <c r="B233" s="6" t="s">
        <v>697</v>
      </c>
      <c r="C233" s="7" t="s">
        <v>698</v>
      </c>
      <c r="D233" s="7" t="s">
        <v>635</v>
      </c>
      <c r="E233" s="39">
        <f>Calculation!D215</f>
        <v>64618</v>
      </c>
      <c r="F233" s="21">
        <f>Calculation!E215</f>
        <v>0.47010000000000002</v>
      </c>
      <c r="G233" s="22">
        <f>Calculation!F215</f>
        <v>0.23499999999999999</v>
      </c>
      <c r="H233" s="23">
        <f>Calculation!G215</f>
        <v>8.6999999999999993</v>
      </c>
      <c r="I233" s="24">
        <f>Calculation!J215</f>
        <v>15188</v>
      </c>
      <c r="J233" s="6" t="str">
        <f t="shared" si="3"/>
        <v>Moderate</v>
      </c>
    </row>
    <row r="234" spans="1:10" ht="15" customHeight="1">
      <c r="A234" s="7">
        <v>215</v>
      </c>
      <c r="B234" s="6" t="s">
        <v>699</v>
      </c>
      <c r="C234" s="7" t="s">
        <v>700</v>
      </c>
      <c r="D234" s="7" t="s">
        <v>635</v>
      </c>
      <c r="E234" s="39">
        <f>Calculation!D216</f>
        <v>64618</v>
      </c>
      <c r="F234" s="21">
        <f>Calculation!E216</f>
        <v>0.70569999999999999</v>
      </c>
      <c r="G234" s="22">
        <f>Calculation!F216</f>
        <v>0.35289999999999999</v>
      </c>
      <c r="H234" s="23">
        <f>Calculation!G216</f>
        <v>13.1</v>
      </c>
      <c r="I234" s="24">
        <f>Calculation!J216</f>
        <v>22800</v>
      </c>
      <c r="J234" s="6" t="str">
        <f t="shared" si="3"/>
        <v>Transformative</v>
      </c>
    </row>
    <row r="235" spans="1:10" ht="15" customHeight="1">
      <c r="A235" s="7">
        <v>216</v>
      </c>
      <c r="B235" s="6" t="s">
        <v>701</v>
      </c>
      <c r="C235" s="7" t="s">
        <v>702</v>
      </c>
      <c r="D235" s="7" t="s">
        <v>703</v>
      </c>
      <c r="E235" s="39">
        <f>Calculation!D217</f>
        <v>117750</v>
      </c>
      <c r="F235" s="21">
        <f>Calculation!E217</f>
        <v>0.67510000000000003</v>
      </c>
      <c r="G235" s="22">
        <f>Calculation!F217</f>
        <v>0.32400000000000001</v>
      </c>
      <c r="H235" s="23">
        <f>Calculation!G217</f>
        <v>12</v>
      </c>
      <c r="I235" s="24">
        <f>Calculation!J217</f>
        <v>38157</v>
      </c>
      <c r="J235" s="6" t="str">
        <f t="shared" si="3"/>
        <v>High</v>
      </c>
    </row>
    <row r="236" spans="1:10" ht="15" customHeight="1">
      <c r="A236" s="7">
        <v>217</v>
      </c>
      <c r="B236" s="6" t="s">
        <v>704</v>
      </c>
      <c r="C236" s="7" t="s">
        <v>705</v>
      </c>
      <c r="D236" s="7" t="s">
        <v>703</v>
      </c>
      <c r="E236" s="39">
        <f>Calculation!D218</f>
        <v>117750</v>
      </c>
      <c r="F236" s="21">
        <f>Calculation!E218</f>
        <v>0.66239999999999999</v>
      </c>
      <c r="G236" s="22">
        <f>Calculation!F218</f>
        <v>0.318</v>
      </c>
      <c r="H236" s="23">
        <f>Calculation!G218</f>
        <v>11.8</v>
      </c>
      <c r="I236" s="24">
        <f>Calculation!J218</f>
        <v>37439</v>
      </c>
      <c r="J236" s="6" t="str">
        <f t="shared" si="3"/>
        <v>High</v>
      </c>
    </row>
    <row r="237" spans="1:10" ht="15" customHeight="1">
      <c r="A237" s="7">
        <v>218</v>
      </c>
      <c r="B237" s="6" t="s">
        <v>706</v>
      </c>
      <c r="C237" s="7" t="s">
        <v>707</v>
      </c>
      <c r="D237" s="7" t="s">
        <v>703</v>
      </c>
      <c r="E237" s="39">
        <f>Calculation!D219</f>
        <v>117750</v>
      </c>
      <c r="F237" s="21">
        <f>Calculation!E219</f>
        <v>0.65449999999999997</v>
      </c>
      <c r="G237" s="22">
        <f>Calculation!F219</f>
        <v>0.31419999999999998</v>
      </c>
      <c r="H237" s="23">
        <f>Calculation!G219</f>
        <v>11.6</v>
      </c>
      <c r="I237" s="24">
        <f>Calculation!J219</f>
        <v>36992</v>
      </c>
      <c r="J237" s="6" t="str">
        <f t="shared" si="3"/>
        <v>High</v>
      </c>
    </row>
    <row r="238" spans="1:10" ht="15" customHeight="1">
      <c r="A238" s="7">
        <v>219</v>
      </c>
      <c r="B238" s="6" t="s">
        <v>708</v>
      </c>
      <c r="C238" s="7" t="s">
        <v>709</v>
      </c>
      <c r="D238" s="7" t="s">
        <v>703</v>
      </c>
      <c r="E238" s="39">
        <f>Calculation!D220</f>
        <v>117750</v>
      </c>
      <c r="F238" s="21">
        <f>Calculation!E220</f>
        <v>0.66659999999999997</v>
      </c>
      <c r="G238" s="22">
        <f>Calculation!F220</f>
        <v>0.32</v>
      </c>
      <c r="H238" s="23">
        <f>Calculation!G220</f>
        <v>11.8</v>
      </c>
      <c r="I238" s="24">
        <f>Calculation!J220</f>
        <v>37676</v>
      </c>
      <c r="J238" s="6" t="str">
        <f t="shared" si="3"/>
        <v>High</v>
      </c>
    </row>
    <row r="239" spans="1:10" ht="15" customHeight="1">
      <c r="A239" s="7">
        <v>220</v>
      </c>
      <c r="B239" s="6" t="s">
        <v>710</v>
      </c>
      <c r="C239" s="7" t="s">
        <v>711</v>
      </c>
      <c r="D239" s="7" t="s">
        <v>703</v>
      </c>
      <c r="E239" s="39">
        <f>Calculation!D221</f>
        <v>117750</v>
      </c>
      <c r="F239" s="21">
        <f>Calculation!E221</f>
        <v>0.76629999999999998</v>
      </c>
      <c r="G239" s="22">
        <f>Calculation!F221</f>
        <v>0.36780000000000002</v>
      </c>
      <c r="H239" s="23">
        <f>Calculation!G221</f>
        <v>13.6</v>
      </c>
      <c r="I239" s="24">
        <f>Calculation!J221</f>
        <v>43311</v>
      </c>
      <c r="J239" s="6" t="str">
        <f t="shared" si="3"/>
        <v>Transformative</v>
      </c>
    </row>
    <row r="240" spans="1:10" ht="15" customHeight="1">
      <c r="A240" s="7">
        <v>221</v>
      </c>
      <c r="B240" s="6" t="s">
        <v>712</v>
      </c>
      <c r="C240" s="7" t="s">
        <v>713</v>
      </c>
      <c r="D240" s="7" t="s">
        <v>703</v>
      </c>
      <c r="E240" s="39">
        <f>Calculation!D222</f>
        <v>117750</v>
      </c>
      <c r="F240" s="21">
        <f>Calculation!E222</f>
        <v>0.75960000000000005</v>
      </c>
      <c r="G240" s="22">
        <f>Calculation!F222</f>
        <v>0.36459999999999998</v>
      </c>
      <c r="H240" s="23">
        <f>Calculation!G222</f>
        <v>13.5</v>
      </c>
      <c r="I240" s="24">
        <f>Calculation!J222</f>
        <v>42933</v>
      </c>
      <c r="J240" s="6" t="str">
        <f t="shared" si="3"/>
        <v>Transformative</v>
      </c>
    </row>
    <row r="241" spans="1:10" ht="15" customHeight="1">
      <c r="A241" s="7">
        <v>222</v>
      </c>
      <c r="B241" s="6" t="s">
        <v>714</v>
      </c>
      <c r="C241" s="7" t="s">
        <v>715</v>
      </c>
      <c r="D241" s="7" t="s">
        <v>703</v>
      </c>
      <c r="E241" s="39">
        <f>Calculation!D223</f>
        <v>117750</v>
      </c>
      <c r="F241" s="21">
        <f>Calculation!E223</f>
        <v>0.73219999999999996</v>
      </c>
      <c r="G241" s="22">
        <f>Calculation!F223</f>
        <v>0.35149999999999998</v>
      </c>
      <c r="H241" s="23">
        <f>Calculation!G223</f>
        <v>13</v>
      </c>
      <c r="I241" s="24">
        <f>Calculation!J223</f>
        <v>41384</v>
      </c>
      <c r="J241" s="6" t="str">
        <f t="shared" si="3"/>
        <v>Transformative</v>
      </c>
    </row>
    <row r="242" spans="1:10" ht="15" customHeight="1">
      <c r="A242" s="7">
        <v>223</v>
      </c>
      <c r="B242" s="6" t="s">
        <v>716</v>
      </c>
      <c r="C242" s="7" t="s">
        <v>717</v>
      </c>
      <c r="D242" s="7" t="s">
        <v>703</v>
      </c>
      <c r="E242" s="39">
        <f>Calculation!D224</f>
        <v>117750</v>
      </c>
      <c r="F242" s="21">
        <f>Calculation!E224</f>
        <v>0.75090000000000001</v>
      </c>
      <c r="G242" s="22">
        <f>Calculation!F224</f>
        <v>0.3604</v>
      </c>
      <c r="H242" s="23">
        <f>Calculation!G224</f>
        <v>13.3</v>
      </c>
      <c r="I242" s="24">
        <f>Calculation!J224</f>
        <v>42441</v>
      </c>
      <c r="J242" s="6" t="str">
        <f t="shared" si="3"/>
        <v>Transformative</v>
      </c>
    </row>
    <row r="243" spans="1:10" ht="15" customHeight="1">
      <c r="A243" s="7">
        <v>224</v>
      </c>
      <c r="B243" s="6" t="s">
        <v>718</v>
      </c>
      <c r="C243" s="7" t="s">
        <v>719</v>
      </c>
      <c r="D243" s="7" t="s">
        <v>703</v>
      </c>
      <c r="E243" s="39">
        <f>Calculation!D225</f>
        <v>117750</v>
      </c>
      <c r="F243" s="21">
        <f>Calculation!E225</f>
        <v>0.73160000000000003</v>
      </c>
      <c r="G243" s="22">
        <f>Calculation!F225</f>
        <v>0.35120000000000001</v>
      </c>
      <c r="H243" s="23">
        <f>Calculation!G225</f>
        <v>13</v>
      </c>
      <c r="I243" s="24">
        <f>Calculation!J225</f>
        <v>41350</v>
      </c>
      <c r="J243" s="6" t="str">
        <f t="shared" si="3"/>
        <v>Transformative</v>
      </c>
    </row>
    <row r="244" spans="1:10" ht="15" customHeight="1">
      <c r="A244" s="7">
        <v>225</v>
      </c>
      <c r="B244" s="6" t="s">
        <v>720</v>
      </c>
      <c r="C244" s="7" t="s">
        <v>721</v>
      </c>
      <c r="D244" s="7" t="s">
        <v>703</v>
      </c>
      <c r="E244" s="39">
        <f>Calculation!D226</f>
        <v>117750</v>
      </c>
      <c r="F244" s="21">
        <f>Calculation!E226</f>
        <v>0.68020000000000003</v>
      </c>
      <c r="G244" s="22">
        <f>Calculation!F226</f>
        <v>0.32650000000000001</v>
      </c>
      <c r="H244" s="23">
        <f>Calculation!G226</f>
        <v>12.1</v>
      </c>
      <c r="I244" s="24">
        <f>Calculation!J226</f>
        <v>38445</v>
      </c>
      <c r="J244" s="6" t="str">
        <f t="shared" si="3"/>
        <v>High</v>
      </c>
    </row>
    <row r="245" spans="1:10" ht="15" customHeight="1">
      <c r="A245" s="7">
        <v>226</v>
      </c>
      <c r="B245" s="6" t="s">
        <v>722</v>
      </c>
      <c r="C245" s="7" t="s">
        <v>723</v>
      </c>
      <c r="D245" s="7" t="s">
        <v>703</v>
      </c>
      <c r="E245" s="39">
        <f>Calculation!D227</f>
        <v>117750</v>
      </c>
      <c r="F245" s="21">
        <f>Calculation!E227</f>
        <v>0.73140000000000005</v>
      </c>
      <c r="G245" s="22">
        <f>Calculation!F227</f>
        <v>0.35110000000000002</v>
      </c>
      <c r="H245" s="23">
        <f>Calculation!G227</f>
        <v>13</v>
      </c>
      <c r="I245" s="24">
        <f>Calculation!J227</f>
        <v>41339</v>
      </c>
      <c r="J245" s="6" t="str">
        <f t="shared" si="3"/>
        <v>Transformative</v>
      </c>
    </row>
    <row r="246" spans="1:10" ht="15" customHeight="1">
      <c r="A246" s="7">
        <v>227</v>
      </c>
      <c r="B246" s="6" t="s">
        <v>724</v>
      </c>
      <c r="C246" s="7" t="s">
        <v>725</v>
      </c>
      <c r="D246" s="7" t="s">
        <v>703</v>
      </c>
      <c r="E246" s="39">
        <f>Calculation!D228</f>
        <v>117750</v>
      </c>
      <c r="F246" s="21">
        <f>Calculation!E228</f>
        <v>0.6411</v>
      </c>
      <c r="G246" s="22">
        <f>Calculation!F228</f>
        <v>0.30769999999999997</v>
      </c>
      <c r="H246" s="23">
        <f>Calculation!G228</f>
        <v>11.4</v>
      </c>
      <c r="I246" s="24">
        <f>Calculation!J228</f>
        <v>36235</v>
      </c>
      <c r="J246" s="6" t="str">
        <f t="shared" si="3"/>
        <v>High</v>
      </c>
    </row>
    <row r="247" spans="1:10" ht="15" customHeight="1">
      <c r="A247" s="7">
        <v>228</v>
      </c>
      <c r="B247" s="6" t="s">
        <v>726</v>
      </c>
      <c r="C247" s="7" t="s">
        <v>727</v>
      </c>
      <c r="D247" s="7" t="s">
        <v>703</v>
      </c>
      <c r="E247" s="39">
        <f>Calculation!D229</f>
        <v>117750</v>
      </c>
      <c r="F247" s="21">
        <f>Calculation!E229</f>
        <v>0.64839999999999998</v>
      </c>
      <c r="G247" s="22">
        <f>Calculation!F229</f>
        <v>0.31119999999999998</v>
      </c>
      <c r="H247" s="23">
        <f>Calculation!G229</f>
        <v>11.5</v>
      </c>
      <c r="I247" s="24">
        <f>Calculation!J229</f>
        <v>36648</v>
      </c>
      <c r="J247" s="6" t="str">
        <f t="shared" si="3"/>
        <v>High</v>
      </c>
    </row>
    <row r="248" spans="1:10" ht="15" customHeight="1">
      <c r="A248" s="7">
        <v>229</v>
      </c>
      <c r="B248" s="6" t="s">
        <v>728</v>
      </c>
      <c r="C248" s="7" t="s">
        <v>729</v>
      </c>
      <c r="D248" s="7" t="s">
        <v>703</v>
      </c>
      <c r="E248" s="39">
        <f>Calculation!D230</f>
        <v>117750</v>
      </c>
      <c r="F248" s="21">
        <f>Calculation!E230</f>
        <v>0.66659999999999997</v>
      </c>
      <c r="G248" s="22">
        <f>Calculation!F230</f>
        <v>0.32</v>
      </c>
      <c r="H248" s="23">
        <f>Calculation!G230</f>
        <v>11.8</v>
      </c>
      <c r="I248" s="24">
        <f>Calculation!J230</f>
        <v>37676</v>
      </c>
      <c r="J248" s="6" t="str">
        <f t="shared" si="3"/>
        <v>High</v>
      </c>
    </row>
    <row r="249" spans="1:10" ht="15" customHeight="1">
      <c r="A249" s="7">
        <v>230</v>
      </c>
      <c r="B249" s="6" t="s">
        <v>730</v>
      </c>
      <c r="C249" s="7" t="s">
        <v>731</v>
      </c>
      <c r="D249" s="7" t="s">
        <v>703</v>
      </c>
      <c r="E249" s="39">
        <f>Calculation!D231</f>
        <v>117750</v>
      </c>
      <c r="F249" s="21">
        <f>Calculation!E231</f>
        <v>0.66759999999999997</v>
      </c>
      <c r="G249" s="22">
        <f>Calculation!F231</f>
        <v>0.32040000000000002</v>
      </c>
      <c r="H249" s="23">
        <f>Calculation!G231</f>
        <v>11.9</v>
      </c>
      <c r="I249" s="24">
        <f>Calculation!J231</f>
        <v>37733</v>
      </c>
      <c r="J249" s="6" t="str">
        <f t="shared" si="3"/>
        <v>High</v>
      </c>
    </row>
    <row r="250" spans="1:10" ht="15" customHeight="1">
      <c r="A250" s="7">
        <v>231</v>
      </c>
      <c r="B250" s="6" t="s">
        <v>732</v>
      </c>
      <c r="C250" s="7" t="s">
        <v>733</v>
      </c>
      <c r="D250" s="7" t="s">
        <v>703</v>
      </c>
      <c r="E250" s="39">
        <f>Calculation!D232</f>
        <v>117750</v>
      </c>
      <c r="F250" s="21">
        <f>Calculation!E232</f>
        <v>0.64059999999999995</v>
      </c>
      <c r="G250" s="22">
        <f>Calculation!F232</f>
        <v>0.3075</v>
      </c>
      <c r="H250" s="23">
        <f>Calculation!G232</f>
        <v>11.4</v>
      </c>
      <c r="I250" s="24">
        <f>Calculation!J232</f>
        <v>36207</v>
      </c>
      <c r="J250" s="6" t="str">
        <f t="shared" si="3"/>
        <v>High</v>
      </c>
    </row>
    <row r="251" spans="1:10" ht="15" customHeight="1">
      <c r="A251" s="7">
        <v>232</v>
      </c>
      <c r="B251" s="6" t="s">
        <v>734</v>
      </c>
      <c r="C251" s="7" t="s">
        <v>735</v>
      </c>
      <c r="D251" s="7" t="s">
        <v>703</v>
      </c>
      <c r="E251" s="39">
        <f>Calculation!D233</f>
        <v>117750</v>
      </c>
      <c r="F251" s="21">
        <f>Calculation!E233</f>
        <v>0.67390000000000005</v>
      </c>
      <c r="G251" s="22">
        <f>Calculation!F233</f>
        <v>0.32350000000000001</v>
      </c>
      <c r="H251" s="23">
        <f>Calculation!G233</f>
        <v>12</v>
      </c>
      <c r="I251" s="24">
        <f>Calculation!J233</f>
        <v>38089</v>
      </c>
      <c r="J251" s="6" t="str">
        <f t="shared" si="3"/>
        <v>High</v>
      </c>
    </row>
    <row r="252" spans="1:10" ht="15" customHeight="1">
      <c r="A252" s="7">
        <v>233</v>
      </c>
      <c r="B252" s="6" t="s">
        <v>736</v>
      </c>
      <c r="C252" s="7" t="s">
        <v>737</v>
      </c>
      <c r="D252" s="7" t="s">
        <v>703</v>
      </c>
      <c r="E252" s="39">
        <f>Calculation!D234</f>
        <v>117750</v>
      </c>
      <c r="F252" s="21">
        <f>Calculation!E234</f>
        <v>0.72419999999999995</v>
      </c>
      <c r="G252" s="22">
        <f>Calculation!F234</f>
        <v>0.34760000000000002</v>
      </c>
      <c r="H252" s="23">
        <f>Calculation!G234</f>
        <v>12.9</v>
      </c>
      <c r="I252" s="24">
        <f>Calculation!J234</f>
        <v>40932</v>
      </c>
      <c r="J252" s="6" t="str">
        <f t="shared" si="3"/>
        <v>High</v>
      </c>
    </row>
    <row r="253" spans="1:10" ht="15" customHeight="1">
      <c r="A253" s="7">
        <v>234</v>
      </c>
      <c r="B253" s="6" t="s">
        <v>738</v>
      </c>
      <c r="C253" s="7" t="s">
        <v>739</v>
      </c>
      <c r="D253" s="7" t="s">
        <v>703</v>
      </c>
      <c r="E253" s="39">
        <f>Calculation!D235</f>
        <v>117750</v>
      </c>
      <c r="F253" s="21">
        <f>Calculation!E235</f>
        <v>0.71279999999999999</v>
      </c>
      <c r="G253" s="22">
        <f>Calculation!F235</f>
        <v>0.34210000000000002</v>
      </c>
      <c r="H253" s="23">
        <f>Calculation!G235</f>
        <v>12.7</v>
      </c>
      <c r="I253" s="24">
        <f>Calculation!J235</f>
        <v>40287</v>
      </c>
      <c r="J253" s="6" t="str">
        <f t="shared" si="3"/>
        <v>High</v>
      </c>
    </row>
    <row r="254" spans="1:10" ht="15" customHeight="1">
      <c r="A254" s="7">
        <v>235</v>
      </c>
      <c r="B254" s="6" t="s">
        <v>740</v>
      </c>
      <c r="C254" s="7" t="s">
        <v>741</v>
      </c>
      <c r="D254" s="7" t="s">
        <v>703</v>
      </c>
      <c r="E254" s="39">
        <f>Calculation!D236</f>
        <v>117750</v>
      </c>
      <c r="F254" s="21">
        <f>Calculation!E236</f>
        <v>0.70779999999999998</v>
      </c>
      <c r="G254" s="22">
        <f>Calculation!F236</f>
        <v>0.3397</v>
      </c>
      <c r="H254" s="23">
        <f>Calculation!G236</f>
        <v>12.6</v>
      </c>
      <c r="I254" s="24">
        <f>Calculation!J236</f>
        <v>40005</v>
      </c>
      <c r="J254" s="6" t="str">
        <f t="shared" si="3"/>
        <v>High</v>
      </c>
    </row>
    <row r="255" spans="1:10" ht="15" customHeight="1">
      <c r="A255" s="7">
        <v>236</v>
      </c>
      <c r="B255" s="6" t="s">
        <v>742</v>
      </c>
      <c r="C255" s="7" t="s">
        <v>743</v>
      </c>
      <c r="D255" s="7" t="s">
        <v>744</v>
      </c>
      <c r="E255" s="39">
        <f>Calculation!D237</f>
        <v>107857</v>
      </c>
      <c r="F255" s="21">
        <f>Calculation!E237</f>
        <v>0.76839999999999997</v>
      </c>
      <c r="G255" s="22">
        <f>Calculation!F237</f>
        <v>0.36880000000000002</v>
      </c>
      <c r="H255" s="23">
        <f>Calculation!G237</f>
        <v>13.6</v>
      </c>
      <c r="I255" s="24">
        <f>Calculation!J237</f>
        <v>39781</v>
      </c>
      <c r="J255" s="6" t="str">
        <f t="shared" si="3"/>
        <v>Transformative</v>
      </c>
    </row>
    <row r="256" spans="1:10" ht="15" customHeight="1">
      <c r="A256" s="7">
        <v>237</v>
      </c>
      <c r="B256" s="6" t="s">
        <v>745</v>
      </c>
      <c r="C256" s="7" t="s">
        <v>746</v>
      </c>
      <c r="D256" s="7" t="s">
        <v>744</v>
      </c>
      <c r="E256" s="39">
        <f>Calculation!D238</f>
        <v>107857</v>
      </c>
      <c r="F256" s="21">
        <f>Calculation!E238</f>
        <v>0.76490000000000002</v>
      </c>
      <c r="G256" s="22">
        <f>Calculation!F238</f>
        <v>0.36720000000000003</v>
      </c>
      <c r="H256" s="23">
        <f>Calculation!G238</f>
        <v>13.6</v>
      </c>
      <c r="I256" s="24">
        <f>Calculation!J238</f>
        <v>39600</v>
      </c>
      <c r="J256" s="6" t="str">
        <f t="shared" si="3"/>
        <v>Transformative</v>
      </c>
    </row>
    <row r="257" spans="1:10" ht="15" customHeight="1">
      <c r="A257" s="7">
        <v>238</v>
      </c>
      <c r="B257" s="6" t="s">
        <v>747</v>
      </c>
      <c r="C257" s="7" t="s">
        <v>748</v>
      </c>
      <c r="D257" s="7" t="s">
        <v>744</v>
      </c>
      <c r="E257" s="39">
        <f>Calculation!D239</f>
        <v>107857</v>
      </c>
      <c r="F257" s="21">
        <f>Calculation!E239</f>
        <v>0.74739999999999995</v>
      </c>
      <c r="G257" s="22">
        <f>Calculation!F239</f>
        <v>0.35880000000000001</v>
      </c>
      <c r="H257" s="23">
        <f>Calculation!G239</f>
        <v>13.3</v>
      </c>
      <c r="I257" s="24">
        <f>Calculation!J239</f>
        <v>38694</v>
      </c>
      <c r="J257" s="6" t="str">
        <f t="shared" si="3"/>
        <v>Transformative</v>
      </c>
    </row>
    <row r="258" spans="1:10" ht="15" customHeight="1">
      <c r="A258" s="7">
        <v>239</v>
      </c>
      <c r="B258" s="6" t="s">
        <v>749</v>
      </c>
      <c r="C258" s="7" t="s">
        <v>750</v>
      </c>
      <c r="D258" s="7" t="s">
        <v>744</v>
      </c>
      <c r="E258" s="39">
        <f>Calculation!D240</f>
        <v>107857</v>
      </c>
      <c r="F258" s="21">
        <f>Calculation!E240</f>
        <v>0.74250000000000005</v>
      </c>
      <c r="G258" s="22">
        <f>Calculation!F240</f>
        <v>0.35639999999999999</v>
      </c>
      <c r="H258" s="23">
        <f>Calculation!G240</f>
        <v>13.2</v>
      </c>
      <c r="I258" s="24">
        <f>Calculation!J240</f>
        <v>38440</v>
      </c>
      <c r="J258" s="6" t="str">
        <f t="shared" si="3"/>
        <v>Transformative</v>
      </c>
    </row>
    <row r="259" spans="1:10" ht="15" customHeight="1">
      <c r="A259" s="7">
        <v>240</v>
      </c>
      <c r="B259" s="6" t="s">
        <v>751</v>
      </c>
      <c r="C259" s="7" t="s">
        <v>752</v>
      </c>
      <c r="D259" s="7" t="s">
        <v>744</v>
      </c>
      <c r="E259" s="39">
        <f>Calculation!D241</f>
        <v>107857</v>
      </c>
      <c r="F259" s="21">
        <f>Calculation!E241</f>
        <v>0.77700000000000002</v>
      </c>
      <c r="G259" s="22">
        <f>Calculation!F241</f>
        <v>0.373</v>
      </c>
      <c r="H259" s="23">
        <f>Calculation!G241</f>
        <v>13.8</v>
      </c>
      <c r="I259" s="24">
        <f>Calculation!J241</f>
        <v>40226</v>
      </c>
      <c r="J259" s="6" t="str">
        <f t="shared" si="3"/>
        <v>Transformative</v>
      </c>
    </row>
    <row r="260" spans="1:10" ht="15" customHeight="1">
      <c r="A260" s="7">
        <v>241</v>
      </c>
      <c r="B260" s="6" t="s">
        <v>753</v>
      </c>
      <c r="C260" s="7" t="s">
        <v>754</v>
      </c>
      <c r="D260" s="7" t="s">
        <v>744</v>
      </c>
      <c r="E260" s="39">
        <f>Calculation!D242</f>
        <v>107857</v>
      </c>
      <c r="F260" s="21">
        <f>Calculation!E242</f>
        <v>0.72230000000000005</v>
      </c>
      <c r="G260" s="22">
        <f>Calculation!F242</f>
        <v>0.34670000000000001</v>
      </c>
      <c r="H260" s="23">
        <f>Calculation!G242</f>
        <v>12.8</v>
      </c>
      <c r="I260" s="24">
        <f>Calculation!J242</f>
        <v>37394</v>
      </c>
      <c r="J260" s="6" t="str">
        <f t="shared" si="3"/>
        <v>High</v>
      </c>
    </row>
    <row r="261" spans="1:10" ht="15" customHeight="1">
      <c r="A261" s="7">
        <v>242</v>
      </c>
      <c r="B261" s="6" t="s">
        <v>755</v>
      </c>
      <c r="C261" s="7" t="s">
        <v>756</v>
      </c>
      <c r="D261" s="7" t="s">
        <v>744</v>
      </c>
      <c r="E261" s="39">
        <f>Calculation!D243</f>
        <v>107857</v>
      </c>
      <c r="F261" s="21">
        <f>Calculation!E243</f>
        <v>0.76349999999999996</v>
      </c>
      <c r="G261" s="22">
        <f>Calculation!F243</f>
        <v>0.36649999999999999</v>
      </c>
      <c r="H261" s="23">
        <f>Calculation!G243</f>
        <v>13.6</v>
      </c>
      <c r="I261" s="24">
        <f>Calculation!J243</f>
        <v>39527</v>
      </c>
      <c r="J261" s="6" t="str">
        <f t="shared" si="3"/>
        <v>Transformative</v>
      </c>
    </row>
    <row r="262" spans="1:10" ht="15" customHeight="1">
      <c r="A262" s="7">
        <v>243</v>
      </c>
      <c r="B262" s="6" t="s">
        <v>757</v>
      </c>
      <c r="C262" s="7" t="s">
        <v>758</v>
      </c>
      <c r="D262" s="7" t="s">
        <v>759</v>
      </c>
      <c r="E262" s="39">
        <f>Calculation!D244</f>
        <v>42400</v>
      </c>
      <c r="F262" s="21">
        <f>Calculation!E244</f>
        <v>0.3891</v>
      </c>
      <c r="G262" s="22">
        <f>Calculation!F244</f>
        <v>0.23350000000000001</v>
      </c>
      <c r="H262" s="23">
        <f>Calculation!G244</f>
        <v>8.6</v>
      </c>
      <c r="I262" s="24">
        <f>Calculation!J244</f>
        <v>9899</v>
      </c>
      <c r="J262" s="6" t="str">
        <f t="shared" si="3"/>
        <v>Moderate</v>
      </c>
    </row>
    <row r="263" spans="1:10" ht="15" customHeight="1">
      <c r="A263" s="7">
        <v>244</v>
      </c>
      <c r="B263" s="6" t="s">
        <v>760</v>
      </c>
      <c r="C263" s="7" t="s">
        <v>761</v>
      </c>
      <c r="D263" s="7" t="s">
        <v>759</v>
      </c>
      <c r="E263" s="39">
        <f>Calculation!D245</f>
        <v>42400</v>
      </c>
      <c r="F263" s="21">
        <f>Calculation!E245</f>
        <v>0.33379999999999999</v>
      </c>
      <c r="G263" s="22">
        <f>Calculation!F245</f>
        <v>0.20030000000000001</v>
      </c>
      <c r="H263" s="23">
        <f>Calculation!G245</f>
        <v>7.4</v>
      </c>
      <c r="I263" s="24">
        <f>Calculation!J245</f>
        <v>8492</v>
      </c>
      <c r="J263" s="6" t="str">
        <f t="shared" si="3"/>
        <v>Moderate</v>
      </c>
    </row>
    <row r="264" spans="1:10" ht="15" customHeight="1">
      <c r="A264" s="7">
        <v>245</v>
      </c>
      <c r="B264" s="6" t="s">
        <v>762</v>
      </c>
      <c r="C264" s="7" t="s">
        <v>763</v>
      </c>
      <c r="D264" s="7" t="s">
        <v>759</v>
      </c>
      <c r="E264" s="39">
        <f>Calculation!D246</f>
        <v>42400</v>
      </c>
      <c r="F264" s="21">
        <f>Calculation!E246</f>
        <v>0.31430000000000002</v>
      </c>
      <c r="G264" s="22">
        <f>Calculation!F246</f>
        <v>0.18859999999999999</v>
      </c>
      <c r="H264" s="23">
        <f>Calculation!G246</f>
        <v>7</v>
      </c>
      <c r="I264" s="24">
        <f>Calculation!J246</f>
        <v>7996</v>
      </c>
      <c r="J264" s="6" t="str">
        <f t="shared" si="3"/>
        <v>Moderate</v>
      </c>
    </row>
    <row r="265" spans="1:10" ht="15" customHeight="1">
      <c r="A265" s="7">
        <v>246</v>
      </c>
      <c r="B265" s="6" t="s">
        <v>764</v>
      </c>
      <c r="C265" s="7" t="s">
        <v>765</v>
      </c>
      <c r="D265" s="7" t="s">
        <v>759</v>
      </c>
      <c r="E265" s="39">
        <f>Calculation!D247</f>
        <v>42400</v>
      </c>
      <c r="F265" s="21">
        <f>Calculation!E247</f>
        <v>0.2671</v>
      </c>
      <c r="G265" s="22">
        <f>Calculation!F247</f>
        <v>0.1603</v>
      </c>
      <c r="H265" s="23">
        <f>Calculation!G247</f>
        <v>5.9</v>
      </c>
      <c r="I265" s="24">
        <f>Calculation!J247</f>
        <v>6795</v>
      </c>
      <c r="J265" s="6" t="str">
        <f t="shared" si="3"/>
        <v>Moderate</v>
      </c>
    </row>
    <row r="266" spans="1:10" ht="15" customHeight="1">
      <c r="A266" s="7">
        <v>247</v>
      </c>
      <c r="B266" s="6" t="s">
        <v>766</v>
      </c>
      <c r="C266" s="7" t="s">
        <v>767</v>
      </c>
      <c r="D266" s="7" t="s">
        <v>759</v>
      </c>
      <c r="E266" s="39">
        <f>Calculation!D248</f>
        <v>42400</v>
      </c>
      <c r="F266" s="21">
        <f>Calculation!E248</f>
        <v>0.31869999999999998</v>
      </c>
      <c r="G266" s="22">
        <f>Calculation!F248</f>
        <v>0.19120000000000001</v>
      </c>
      <c r="H266" s="23">
        <f>Calculation!G248</f>
        <v>7.1</v>
      </c>
      <c r="I266" s="24">
        <f>Calculation!J248</f>
        <v>8108</v>
      </c>
      <c r="J266" s="6" t="str">
        <f t="shared" si="3"/>
        <v>Moderate</v>
      </c>
    </row>
    <row r="267" spans="1:10" ht="15" customHeight="1">
      <c r="A267" s="7">
        <v>248</v>
      </c>
      <c r="B267" s="6" t="s">
        <v>768</v>
      </c>
      <c r="C267" s="7" t="s">
        <v>769</v>
      </c>
      <c r="D267" s="7" t="s">
        <v>770</v>
      </c>
      <c r="E267" s="39">
        <f>Calculation!D249</f>
        <v>64200</v>
      </c>
      <c r="F267" s="21">
        <f>Calculation!E249</f>
        <v>0.32379999999999998</v>
      </c>
      <c r="G267" s="22">
        <f>Calculation!F249</f>
        <v>0.18779999999999999</v>
      </c>
      <c r="H267" s="23">
        <f>Calculation!G249</f>
        <v>6.9</v>
      </c>
      <c r="I267" s="24">
        <f>Calculation!J249</f>
        <v>12057</v>
      </c>
      <c r="J267" s="6" t="str">
        <f t="shared" si="3"/>
        <v>Moderate</v>
      </c>
    </row>
    <row r="268" spans="1:10" ht="15" customHeight="1">
      <c r="A268" s="7">
        <v>249</v>
      </c>
      <c r="B268" s="6" t="s">
        <v>771</v>
      </c>
      <c r="C268" s="7" t="s">
        <v>772</v>
      </c>
      <c r="D268" s="7" t="s">
        <v>770</v>
      </c>
      <c r="E268" s="39">
        <f>Calculation!D250</f>
        <v>64200</v>
      </c>
      <c r="F268" s="21">
        <f>Calculation!E250</f>
        <v>0.32379999999999998</v>
      </c>
      <c r="G268" s="22">
        <f>Calculation!F250</f>
        <v>0.18779999999999999</v>
      </c>
      <c r="H268" s="23">
        <f>Calculation!G250</f>
        <v>6.9</v>
      </c>
      <c r="I268" s="24">
        <f>Calculation!J250</f>
        <v>12057</v>
      </c>
      <c r="J268" s="6" t="str">
        <f t="shared" si="3"/>
        <v>Moderate</v>
      </c>
    </row>
    <row r="269" spans="1:10" ht="15" customHeight="1">
      <c r="A269" s="7">
        <v>250</v>
      </c>
      <c r="B269" s="6" t="s">
        <v>773</v>
      </c>
      <c r="C269" s="7" t="s">
        <v>774</v>
      </c>
      <c r="D269" s="7" t="s">
        <v>770</v>
      </c>
      <c r="E269" s="39">
        <f>Calculation!D251</f>
        <v>64200</v>
      </c>
      <c r="F269" s="21">
        <f>Calculation!E251</f>
        <v>0.35220000000000001</v>
      </c>
      <c r="G269" s="22">
        <f>Calculation!F251</f>
        <v>0.20430000000000001</v>
      </c>
      <c r="H269" s="23">
        <f>Calculation!G251</f>
        <v>7.6</v>
      </c>
      <c r="I269" s="24">
        <f>Calculation!J251</f>
        <v>13115</v>
      </c>
      <c r="J269" s="6" t="str">
        <f t="shared" si="3"/>
        <v>Moderate</v>
      </c>
    </row>
    <row r="270" spans="1:10" ht="15" customHeight="1">
      <c r="A270" s="7">
        <v>251</v>
      </c>
      <c r="B270" s="6" t="s">
        <v>775</v>
      </c>
      <c r="C270" s="7" t="s">
        <v>776</v>
      </c>
      <c r="D270" s="7" t="s">
        <v>770</v>
      </c>
      <c r="E270" s="39">
        <f>Calculation!D252</f>
        <v>64200</v>
      </c>
      <c r="F270" s="21">
        <f>Calculation!E252</f>
        <v>0.35970000000000002</v>
      </c>
      <c r="G270" s="22">
        <f>Calculation!F252</f>
        <v>0.20860000000000001</v>
      </c>
      <c r="H270" s="23">
        <f>Calculation!G252</f>
        <v>7.7</v>
      </c>
      <c r="I270" s="24">
        <f>Calculation!J252</f>
        <v>13394</v>
      </c>
      <c r="J270" s="6" t="str">
        <f t="shared" si="3"/>
        <v>Moderate</v>
      </c>
    </row>
    <row r="271" spans="1:10" ht="15" customHeight="1">
      <c r="A271" s="7">
        <v>252</v>
      </c>
      <c r="B271" s="6" t="s">
        <v>777</v>
      </c>
      <c r="C271" s="7" t="s">
        <v>778</v>
      </c>
      <c r="D271" s="7" t="s">
        <v>770</v>
      </c>
      <c r="E271" s="39">
        <f>Calculation!D253</f>
        <v>64200</v>
      </c>
      <c r="F271" s="21">
        <f>Calculation!E253</f>
        <v>0.45229999999999998</v>
      </c>
      <c r="G271" s="22">
        <f>Calculation!F253</f>
        <v>0.26229999999999998</v>
      </c>
      <c r="H271" s="23">
        <f>Calculation!G253</f>
        <v>9.6999999999999993</v>
      </c>
      <c r="I271" s="24">
        <f>Calculation!J253</f>
        <v>16842</v>
      </c>
      <c r="J271" s="6" t="str">
        <f t="shared" si="3"/>
        <v>High</v>
      </c>
    </row>
    <row r="272" spans="1:10" ht="15" customHeight="1">
      <c r="A272" s="7">
        <v>253</v>
      </c>
      <c r="B272" s="6" t="s">
        <v>779</v>
      </c>
      <c r="C272" s="7" t="s">
        <v>780</v>
      </c>
      <c r="D272" s="7" t="s">
        <v>770</v>
      </c>
      <c r="E272" s="39">
        <f>Calculation!D254</f>
        <v>64200</v>
      </c>
      <c r="F272" s="21">
        <f>Calculation!E254</f>
        <v>0.45190000000000002</v>
      </c>
      <c r="G272" s="22">
        <f>Calculation!F254</f>
        <v>0.2621</v>
      </c>
      <c r="H272" s="23">
        <f>Calculation!G254</f>
        <v>9.6999999999999993</v>
      </c>
      <c r="I272" s="24">
        <f>Calculation!J254</f>
        <v>16827</v>
      </c>
      <c r="J272" s="6" t="str">
        <f t="shared" si="3"/>
        <v>High</v>
      </c>
    </row>
    <row r="273" spans="1:10" ht="15" customHeight="1">
      <c r="A273" s="7">
        <v>254</v>
      </c>
      <c r="B273" s="6" t="s">
        <v>781</v>
      </c>
      <c r="C273" s="7" t="s">
        <v>782</v>
      </c>
      <c r="D273" s="7" t="s">
        <v>770</v>
      </c>
      <c r="E273" s="39">
        <f>Calculation!D255</f>
        <v>64200</v>
      </c>
      <c r="F273" s="21">
        <f>Calculation!E255</f>
        <v>0.3412</v>
      </c>
      <c r="G273" s="22">
        <f>Calculation!F255</f>
        <v>0.19789999999999999</v>
      </c>
      <c r="H273" s="23">
        <f>Calculation!G255</f>
        <v>7.3</v>
      </c>
      <c r="I273" s="24">
        <f>Calculation!J255</f>
        <v>12705</v>
      </c>
      <c r="J273" s="6" t="str">
        <f t="shared" si="3"/>
        <v>Moderate</v>
      </c>
    </row>
    <row r="274" spans="1:10" ht="15" customHeight="1">
      <c r="A274" s="7">
        <v>255</v>
      </c>
      <c r="B274" s="6" t="s">
        <v>783</v>
      </c>
      <c r="C274" s="7" t="s">
        <v>784</v>
      </c>
      <c r="D274" s="7" t="s">
        <v>770</v>
      </c>
      <c r="E274" s="39">
        <f>Calculation!D256</f>
        <v>64200</v>
      </c>
      <c r="F274" s="21">
        <f>Calculation!E256</f>
        <v>0.29709999999999998</v>
      </c>
      <c r="G274" s="22">
        <f>Calculation!F256</f>
        <v>0.17230000000000001</v>
      </c>
      <c r="H274" s="23">
        <f>Calculation!G256</f>
        <v>6.4</v>
      </c>
      <c r="I274" s="24">
        <f>Calculation!J256</f>
        <v>11063</v>
      </c>
      <c r="J274" s="6" t="str">
        <f t="shared" si="3"/>
        <v>Moderate</v>
      </c>
    </row>
    <row r="275" spans="1:10" ht="15" customHeight="1">
      <c r="A275" s="7">
        <v>256</v>
      </c>
      <c r="B275" s="6" t="s">
        <v>785</v>
      </c>
      <c r="C275" s="7" t="s">
        <v>786</v>
      </c>
      <c r="D275" s="7" t="s">
        <v>770</v>
      </c>
      <c r="E275" s="39">
        <f>Calculation!D257</f>
        <v>64200</v>
      </c>
      <c r="F275" s="21">
        <f>Calculation!E257</f>
        <v>0.51970000000000005</v>
      </c>
      <c r="G275" s="22">
        <f>Calculation!F257</f>
        <v>0.3014</v>
      </c>
      <c r="H275" s="23">
        <f>Calculation!G257</f>
        <v>11.2</v>
      </c>
      <c r="I275" s="24">
        <f>Calculation!J257</f>
        <v>19352</v>
      </c>
      <c r="J275" s="6" t="str">
        <f t="shared" si="3"/>
        <v>High</v>
      </c>
    </row>
    <row r="276" spans="1:10" ht="15" customHeight="1">
      <c r="A276" s="7">
        <v>257</v>
      </c>
      <c r="B276" s="6" t="s">
        <v>787</v>
      </c>
      <c r="C276" s="7" t="s">
        <v>788</v>
      </c>
      <c r="D276" s="7" t="s">
        <v>770</v>
      </c>
      <c r="E276" s="39">
        <f>Calculation!D258</f>
        <v>64200</v>
      </c>
      <c r="F276" s="21">
        <f>Calculation!E258</f>
        <v>0.3624</v>
      </c>
      <c r="G276" s="22">
        <f>Calculation!F258</f>
        <v>0.2102</v>
      </c>
      <c r="H276" s="23">
        <f>Calculation!G258</f>
        <v>7.8</v>
      </c>
      <c r="I276" s="24">
        <f>Calculation!J258</f>
        <v>13494</v>
      </c>
      <c r="J276" s="6" t="str">
        <f t="shared" ref="J276:J339" si="4">IF(G276&gt;=35%,"Transformative",IF(G276&gt;=25%,"High",IF(G276&gt;=15%,"Moderate","Low")))</f>
        <v>Moderate</v>
      </c>
    </row>
    <row r="277" spans="1:10" ht="15" customHeight="1">
      <c r="A277" s="7">
        <v>258</v>
      </c>
      <c r="B277" s="6" t="s">
        <v>789</v>
      </c>
      <c r="C277" s="7" t="s">
        <v>790</v>
      </c>
      <c r="D277" s="7" t="s">
        <v>770</v>
      </c>
      <c r="E277" s="39">
        <f>Calculation!D259</f>
        <v>64200</v>
      </c>
      <c r="F277" s="21">
        <f>Calculation!E259</f>
        <v>0.45229999999999998</v>
      </c>
      <c r="G277" s="22">
        <f>Calculation!F259</f>
        <v>0.26229999999999998</v>
      </c>
      <c r="H277" s="23">
        <f>Calculation!G259</f>
        <v>9.6999999999999993</v>
      </c>
      <c r="I277" s="24">
        <f>Calculation!J259</f>
        <v>16842</v>
      </c>
      <c r="J277" s="6" t="str">
        <f t="shared" si="4"/>
        <v>High</v>
      </c>
    </row>
    <row r="278" spans="1:10" ht="15" customHeight="1">
      <c r="A278" s="7">
        <v>259</v>
      </c>
      <c r="B278" s="6" t="s">
        <v>791</v>
      </c>
      <c r="C278" s="7" t="s">
        <v>792</v>
      </c>
      <c r="D278" s="7" t="s">
        <v>770</v>
      </c>
      <c r="E278" s="39">
        <f>Calculation!D260</f>
        <v>64200</v>
      </c>
      <c r="F278" s="21">
        <f>Calculation!E260</f>
        <v>0.49969999999999998</v>
      </c>
      <c r="G278" s="22">
        <f>Calculation!F260</f>
        <v>0.2898</v>
      </c>
      <c r="H278" s="23">
        <f>Calculation!G260</f>
        <v>10.7</v>
      </c>
      <c r="I278" s="24">
        <f>Calculation!J260</f>
        <v>18607</v>
      </c>
      <c r="J278" s="6" t="str">
        <f t="shared" si="4"/>
        <v>High</v>
      </c>
    </row>
    <row r="279" spans="1:10" ht="15" customHeight="1">
      <c r="A279" s="7">
        <v>260</v>
      </c>
      <c r="B279" s="6" t="s">
        <v>793</v>
      </c>
      <c r="C279" s="7" t="s">
        <v>794</v>
      </c>
      <c r="D279" s="7" t="s">
        <v>770</v>
      </c>
      <c r="E279" s="39">
        <f>Calculation!D261</f>
        <v>64200</v>
      </c>
      <c r="F279" s="21">
        <f>Calculation!E261</f>
        <v>0.49340000000000001</v>
      </c>
      <c r="G279" s="22">
        <f>Calculation!F261</f>
        <v>0.28620000000000001</v>
      </c>
      <c r="H279" s="23">
        <f>Calculation!G261</f>
        <v>10.6</v>
      </c>
      <c r="I279" s="24">
        <f>Calculation!J261</f>
        <v>18372</v>
      </c>
      <c r="J279" s="6" t="str">
        <f t="shared" si="4"/>
        <v>High</v>
      </c>
    </row>
    <row r="280" spans="1:10" ht="15" customHeight="1">
      <c r="A280" s="7">
        <v>261</v>
      </c>
      <c r="B280" s="6" t="s">
        <v>795</v>
      </c>
      <c r="C280" s="7" t="s">
        <v>796</v>
      </c>
      <c r="D280" s="7" t="s">
        <v>770</v>
      </c>
      <c r="E280" s="39">
        <f>Calculation!D262</f>
        <v>64200</v>
      </c>
      <c r="F280" s="21">
        <f>Calculation!E262</f>
        <v>0.61739999999999995</v>
      </c>
      <c r="G280" s="22">
        <f>Calculation!F262</f>
        <v>0.35809999999999997</v>
      </c>
      <c r="H280" s="23">
        <f>Calculation!G262</f>
        <v>13.2</v>
      </c>
      <c r="I280" s="24">
        <f>Calculation!J262</f>
        <v>22990</v>
      </c>
      <c r="J280" s="6" t="str">
        <f t="shared" si="4"/>
        <v>Transformative</v>
      </c>
    </row>
    <row r="281" spans="1:10" ht="15" customHeight="1">
      <c r="A281" s="7">
        <v>262</v>
      </c>
      <c r="B281" s="6" t="s">
        <v>797</v>
      </c>
      <c r="C281" s="7" t="s">
        <v>798</v>
      </c>
      <c r="D281" s="7" t="s">
        <v>770</v>
      </c>
      <c r="E281" s="39">
        <f>Calculation!D263</f>
        <v>64200</v>
      </c>
      <c r="F281" s="21">
        <f>Calculation!E263</f>
        <v>0.43809999999999999</v>
      </c>
      <c r="G281" s="22">
        <f>Calculation!F263</f>
        <v>0.25409999999999999</v>
      </c>
      <c r="H281" s="23">
        <f>Calculation!G263</f>
        <v>9.4</v>
      </c>
      <c r="I281" s="24">
        <f>Calculation!J263</f>
        <v>16313</v>
      </c>
      <c r="J281" s="6" t="str">
        <f t="shared" si="4"/>
        <v>High</v>
      </c>
    </row>
    <row r="282" spans="1:10" ht="15" customHeight="1">
      <c r="A282" s="7">
        <v>263</v>
      </c>
      <c r="B282" s="6" t="s">
        <v>799</v>
      </c>
      <c r="C282" s="7" t="s">
        <v>800</v>
      </c>
      <c r="D282" s="7" t="s">
        <v>770</v>
      </c>
      <c r="E282" s="39">
        <f>Calculation!D264</f>
        <v>64200</v>
      </c>
      <c r="F282" s="21">
        <f>Calculation!E264</f>
        <v>0.36959999999999998</v>
      </c>
      <c r="G282" s="22">
        <f>Calculation!F264</f>
        <v>0.21440000000000001</v>
      </c>
      <c r="H282" s="23">
        <f>Calculation!G264</f>
        <v>7.9</v>
      </c>
      <c r="I282" s="24">
        <f>Calculation!J264</f>
        <v>13762</v>
      </c>
      <c r="J282" s="6" t="str">
        <f t="shared" si="4"/>
        <v>Moderate</v>
      </c>
    </row>
    <row r="283" spans="1:10" ht="15" customHeight="1">
      <c r="A283" s="7">
        <v>264</v>
      </c>
      <c r="B283" s="6" t="s">
        <v>801</v>
      </c>
      <c r="C283" s="7" t="s">
        <v>802</v>
      </c>
      <c r="D283" s="7" t="s">
        <v>770</v>
      </c>
      <c r="E283" s="39">
        <f>Calculation!D265</f>
        <v>64200</v>
      </c>
      <c r="F283" s="21">
        <f>Calculation!E265</f>
        <v>0.51190000000000002</v>
      </c>
      <c r="G283" s="22">
        <f>Calculation!F265</f>
        <v>0.2969</v>
      </c>
      <c r="H283" s="23">
        <f>Calculation!G265</f>
        <v>11</v>
      </c>
      <c r="I283" s="24">
        <f>Calculation!J265</f>
        <v>19061</v>
      </c>
      <c r="J283" s="6" t="str">
        <f t="shared" si="4"/>
        <v>High</v>
      </c>
    </row>
    <row r="284" spans="1:10" ht="15" customHeight="1">
      <c r="A284" s="7">
        <v>265</v>
      </c>
      <c r="B284" s="6" t="s">
        <v>803</v>
      </c>
      <c r="C284" s="7" t="s">
        <v>804</v>
      </c>
      <c r="D284" s="7" t="s">
        <v>770</v>
      </c>
      <c r="E284" s="39">
        <f>Calculation!D266</f>
        <v>64200</v>
      </c>
      <c r="F284" s="21">
        <f>Calculation!E266</f>
        <v>0.45229999999999998</v>
      </c>
      <c r="G284" s="22">
        <f>Calculation!F266</f>
        <v>0.26229999999999998</v>
      </c>
      <c r="H284" s="23">
        <f>Calculation!G266</f>
        <v>9.6999999999999993</v>
      </c>
      <c r="I284" s="24">
        <f>Calculation!J266</f>
        <v>16842</v>
      </c>
      <c r="J284" s="6" t="str">
        <f t="shared" si="4"/>
        <v>High</v>
      </c>
    </row>
    <row r="285" spans="1:10" ht="15" customHeight="1">
      <c r="A285" s="7">
        <v>266</v>
      </c>
      <c r="B285" s="6" t="s">
        <v>805</v>
      </c>
      <c r="C285" s="7" t="s">
        <v>806</v>
      </c>
      <c r="D285" s="7" t="s">
        <v>770</v>
      </c>
      <c r="E285" s="39">
        <f>Calculation!D267</f>
        <v>64200</v>
      </c>
      <c r="F285" s="21">
        <f>Calculation!E267</f>
        <v>0.48680000000000001</v>
      </c>
      <c r="G285" s="22">
        <f>Calculation!F267</f>
        <v>0.2823</v>
      </c>
      <c r="H285" s="23">
        <f>Calculation!G267</f>
        <v>10.4</v>
      </c>
      <c r="I285" s="24">
        <f>Calculation!J267</f>
        <v>18126</v>
      </c>
      <c r="J285" s="6" t="str">
        <f t="shared" si="4"/>
        <v>High</v>
      </c>
    </row>
    <row r="286" spans="1:10" ht="15" customHeight="1">
      <c r="A286" s="7">
        <v>267</v>
      </c>
      <c r="B286" s="6" t="s">
        <v>807</v>
      </c>
      <c r="C286" s="7" t="s">
        <v>808</v>
      </c>
      <c r="D286" s="7" t="s">
        <v>770</v>
      </c>
      <c r="E286" s="39">
        <f>Calculation!D268</f>
        <v>64200</v>
      </c>
      <c r="F286" s="21">
        <f>Calculation!E268</f>
        <v>0.54110000000000003</v>
      </c>
      <c r="G286" s="22">
        <f>Calculation!F268</f>
        <v>0.31380000000000002</v>
      </c>
      <c r="H286" s="23">
        <f>Calculation!G268</f>
        <v>11.6</v>
      </c>
      <c r="I286" s="24">
        <f>Calculation!J268</f>
        <v>20148</v>
      </c>
      <c r="J286" s="6" t="str">
        <f t="shared" si="4"/>
        <v>High</v>
      </c>
    </row>
    <row r="287" spans="1:10" ht="15" customHeight="1">
      <c r="A287" s="7">
        <v>268</v>
      </c>
      <c r="B287" s="6" t="s">
        <v>809</v>
      </c>
      <c r="C287" s="7" t="s">
        <v>810</v>
      </c>
      <c r="D287" s="7" t="s">
        <v>811</v>
      </c>
      <c r="E287" s="39">
        <f>Calculation!D269</f>
        <v>69250</v>
      </c>
      <c r="F287" s="21">
        <f>Calculation!E269</f>
        <v>0.27379999999999999</v>
      </c>
      <c r="G287" s="22">
        <f>Calculation!F269</f>
        <v>0.1643</v>
      </c>
      <c r="H287" s="23">
        <f>Calculation!G269</f>
        <v>6.1</v>
      </c>
      <c r="I287" s="24">
        <f>Calculation!J269</f>
        <v>11376</v>
      </c>
      <c r="J287" s="6" t="str">
        <f t="shared" si="4"/>
        <v>Moderate</v>
      </c>
    </row>
    <row r="288" spans="1:10" ht="15" customHeight="1">
      <c r="A288" s="7">
        <v>269</v>
      </c>
      <c r="B288" s="6" t="s">
        <v>812</v>
      </c>
      <c r="C288" s="7" t="s">
        <v>813</v>
      </c>
      <c r="D288" s="7" t="s">
        <v>811</v>
      </c>
      <c r="E288" s="39">
        <f>Calculation!D270</f>
        <v>69250</v>
      </c>
      <c r="F288" s="21">
        <f>Calculation!E270</f>
        <v>0.28710000000000002</v>
      </c>
      <c r="G288" s="22">
        <f>Calculation!F270</f>
        <v>0.17230000000000001</v>
      </c>
      <c r="H288" s="23">
        <f>Calculation!G270</f>
        <v>6.4</v>
      </c>
      <c r="I288" s="24">
        <f>Calculation!J270</f>
        <v>11929</v>
      </c>
      <c r="J288" s="6" t="str">
        <f t="shared" si="4"/>
        <v>Moderate</v>
      </c>
    </row>
    <row r="289" spans="1:10" ht="15" customHeight="1">
      <c r="A289" s="7">
        <v>270</v>
      </c>
      <c r="B289" s="6" t="s">
        <v>814</v>
      </c>
      <c r="C289" s="7" t="s">
        <v>815</v>
      </c>
      <c r="D289" s="7" t="s">
        <v>811</v>
      </c>
      <c r="E289" s="39">
        <f>Calculation!D271</f>
        <v>69250</v>
      </c>
      <c r="F289" s="21">
        <f>Calculation!E271</f>
        <v>0.2596</v>
      </c>
      <c r="G289" s="22">
        <f>Calculation!F271</f>
        <v>0.15579999999999999</v>
      </c>
      <c r="H289" s="23">
        <f>Calculation!G271</f>
        <v>5.8</v>
      </c>
      <c r="I289" s="24">
        <f>Calculation!J271</f>
        <v>10786</v>
      </c>
      <c r="J289" s="6" t="str">
        <f t="shared" si="4"/>
        <v>Moderate</v>
      </c>
    </row>
    <row r="290" spans="1:10" ht="15" customHeight="1">
      <c r="A290" s="7">
        <v>271</v>
      </c>
      <c r="B290" s="6" t="s">
        <v>816</v>
      </c>
      <c r="C290" s="7" t="s">
        <v>817</v>
      </c>
      <c r="D290" s="7" t="s">
        <v>811</v>
      </c>
      <c r="E290" s="39">
        <f>Calculation!D272</f>
        <v>69250</v>
      </c>
      <c r="F290" s="21">
        <f>Calculation!E272</f>
        <v>0.25659999999999999</v>
      </c>
      <c r="G290" s="22">
        <f>Calculation!F272</f>
        <v>0.154</v>
      </c>
      <c r="H290" s="23">
        <f>Calculation!G272</f>
        <v>5.7</v>
      </c>
      <c r="I290" s="24">
        <f>Calculation!J272</f>
        <v>10662</v>
      </c>
      <c r="J290" s="6" t="str">
        <f t="shared" si="4"/>
        <v>Moderate</v>
      </c>
    </row>
    <row r="291" spans="1:10" ht="15" customHeight="1">
      <c r="A291" s="7">
        <v>272</v>
      </c>
      <c r="B291" s="6" t="s">
        <v>818</v>
      </c>
      <c r="C291" s="7" t="s">
        <v>819</v>
      </c>
      <c r="D291" s="7" t="s">
        <v>811</v>
      </c>
      <c r="E291" s="39">
        <f>Calculation!D273</f>
        <v>69250</v>
      </c>
      <c r="F291" s="21">
        <f>Calculation!E273</f>
        <v>0.45610000000000001</v>
      </c>
      <c r="G291" s="22">
        <f>Calculation!F273</f>
        <v>0.2737</v>
      </c>
      <c r="H291" s="23">
        <f>Calculation!G273</f>
        <v>10.1</v>
      </c>
      <c r="I291" s="24">
        <f>Calculation!J273</f>
        <v>18951</v>
      </c>
      <c r="J291" s="6" t="str">
        <f t="shared" si="4"/>
        <v>High</v>
      </c>
    </row>
    <row r="292" spans="1:10" ht="15" customHeight="1">
      <c r="A292" s="7">
        <v>273</v>
      </c>
      <c r="B292" s="6" t="s">
        <v>820</v>
      </c>
      <c r="C292" s="7" t="s">
        <v>821</v>
      </c>
      <c r="D292" s="7" t="s">
        <v>811</v>
      </c>
      <c r="E292" s="39">
        <f>Calculation!D274</f>
        <v>69250</v>
      </c>
      <c r="F292" s="21">
        <f>Calculation!E274</f>
        <v>0.30430000000000001</v>
      </c>
      <c r="G292" s="22">
        <f>Calculation!F274</f>
        <v>0.18260000000000001</v>
      </c>
      <c r="H292" s="23">
        <f>Calculation!G274</f>
        <v>6.8</v>
      </c>
      <c r="I292" s="24">
        <f>Calculation!J274</f>
        <v>12644</v>
      </c>
      <c r="J292" s="6" t="str">
        <f t="shared" si="4"/>
        <v>Moderate</v>
      </c>
    </row>
    <row r="293" spans="1:10" ht="15" customHeight="1">
      <c r="A293" s="7">
        <v>274</v>
      </c>
      <c r="B293" s="6" t="s">
        <v>822</v>
      </c>
      <c r="C293" s="7" t="s">
        <v>823</v>
      </c>
      <c r="D293" s="7" t="s">
        <v>811</v>
      </c>
      <c r="E293" s="39">
        <f>Calculation!D275</f>
        <v>69250</v>
      </c>
      <c r="F293" s="21">
        <f>Calculation!E275</f>
        <v>0.29049999999999998</v>
      </c>
      <c r="G293" s="22">
        <f>Calculation!F275</f>
        <v>0.17430000000000001</v>
      </c>
      <c r="H293" s="23">
        <f>Calculation!G275</f>
        <v>6.4</v>
      </c>
      <c r="I293" s="24">
        <f>Calculation!J275</f>
        <v>12070</v>
      </c>
      <c r="J293" s="6" t="str">
        <f t="shared" si="4"/>
        <v>Moderate</v>
      </c>
    </row>
    <row r="294" spans="1:10" ht="15" customHeight="1">
      <c r="A294" s="7">
        <v>275</v>
      </c>
      <c r="B294" s="6" t="s">
        <v>824</v>
      </c>
      <c r="C294" s="7" t="s">
        <v>825</v>
      </c>
      <c r="D294" s="7" t="s">
        <v>811</v>
      </c>
      <c r="E294" s="39">
        <f>Calculation!D276</f>
        <v>69250</v>
      </c>
      <c r="F294" s="21">
        <f>Calculation!E276</f>
        <v>0.30980000000000002</v>
      </c>
      <c r="G294" s="22">
        <f>Calculation!F276</f>
        <v>0.18590000000000001</v>
      </c>
      <c r="H294" s="23">
        <f>Calculation!G276</f>
        <v>6.9</v>
      </c>
      <c r="I294" s="24">
        <f>Calculation!J276</f>
        <v>12872</v>
      </c>
      <c r="J294" s="6" t="str">
        <f t="shared" si="4"/>
        <v>Moderate</v>
      </c>
    </row>
    <row r="295" spans="1:10" ht="15" customHeight="1">
      <c r="A295" s="7">
        <v>276</v>
      </c>
      <c r="B295" s="6" t="s">
        <v>826</v>
      </c>
      <c r="C295" s="7" t="s">
        <v>827</v>
      </c>
      <c r="D295" s="7" t="s">
        <v>811</v>
      </c>
      <c r="E295" s="39">
        <f>Calculation!D277</f>
        <v>69250</v>
      </c>
      <c r="F295" s="21">
        <f>Calculation!E277</f>
        <v>0.26500000000000001</v>
      </c>
      <c r="G295" s="22">
        <f>Calculation!F277</f>
        <v>0.159</v>
      </c>
      <c r="H295" s="23">
        <f>Calculation!G277</f>
        <v>5.9</v>
      </c>
      <c r="I295" s="24">
        <f>Calculation!J277</f>
        <v>11011</v>
      </c>
      <c r="J295" s="6" t="str">
        <f t="shared" si="4"/>
        <v>Moderate</v>
      </c>
    </row>
    <row r="296" spans="1:10" ht="15" customHeight="1">
      <c r="A296" s="7">
        <v>277</v>
      </c>
      <c r="B296" s="6" t="s">
        <v>828</v>
      </c>
      <c r="C296" s="7" t="s">
        <v>829</v>
      </c>
      <c r="D296" s="7" t="s">
        <v>811</v>
      </c>
      <c r="E296" s="39">
        <f>Calculation!D278</f>
        <v>69250</v>
      </c>
      <c r="F296" s="21">
        <f>Calculation!E278</f>
        <v>0.27629999999999999</v>
      </c>
      <c r="G296" s="22">
        <f>Calculation!F278</f>
        <v>0.1658</v>
      </c>
      <c r="H296" s="23">
        <f>Calculation!G278</f>
        <v>6.1</v>
      </c>
      <c r="I296" s="24">
        <f>Calculation!J278</f>
        <v>11480</v>
      </c>
      <c r="J296" s="6" t="str">
        <f t="shared" si="4"/>
        <v>Moderate</v>
      </c>
    </row>
    <row r="297" spans="1:10" ht="15" customHeight="1">
      <c r="A297" s="7">
        <v>278</v>
      </c>
      <c r="B297" s="6" t="s">
        <v>830</v>
      </c>
      <c r="C297" s="7" t="s">
        <v>831</v>
      </c>
      <c r="D297" s="7" t="s">
        <v>811</v>
      </c>
      <c r="E297" s="39">
        <f>Calculation!D279</f>
        <v>69250</v>
      </c>
      <c r="F297" s="21">
        <f>Calculation!E279</f>
        <v>0.27629999999999999</v>
      </c>
      <c r="G297" s="22">
        <f>Calculation!F279</f>
        <v>0.1658</v>
      </c>
      <c r="H297" s="23">
        <f>Calculation!G279</f>
        <v>6.1</v>
      </c>
      <c r="I297" s="24">
        <f>Calculation!J279</f>
        <v>11480</v>
      </c>
      <c r="J297" s="6" t="str">
        <f t="shared" si="4"/>
        <v>Moderate</v>
      </c>
    </row>
    <row r="298" spans="1:10" ht="15" customHeight="1">
      <c r="A298" s="7">
        <v>279</v>
      </c>
      <c r="B298" s="6" t="s">
        <v>832</v>
      </c>
      <c r="C298" s="7" t="s">
        <v>833</v>
      </c>
      <c r="D298" s="7" t="s">
        <v>811</v>
      </c>
      <c r="E298" s="39">
        <f>Calculation!D280</f>
        <v>69250</v>
      </c>
      <c r="F298" s="21">
        <f>Calculation!E280</f>
        <v>0.52690000000000003</v>
      </c>
      <c r="G298" s="22">
        <f>Calculation!F280</f>
        <v>0.31609999999999999</v>
      </c>
      <c r="H298" s="23">
        <f>Calculation!G280</f>
        <v>11.7</v>
      </c>
      <c r="I298" s="24">
        <f>Calculation!J280</f>
        <v>21893</v>
      </c>
      <c r="J298" s="6" t="str">
        <f t="shared" si="4"/>
        <v>High</v>
      </c>
    </row>
    <row r="299" spans="1:10" ht="15" customHeight="1">
      <c r="A299" s="7">
        <v>280</v>
      </c>
      <c r="B299" s="6" t="s">
        <v>834</v>
      </c>
      <c r="C299" s="7" t="s">
        <v>835</v>
      </c>
      <c r="D299" s="7" t="s">
        <v>836</v>
      </c>
      <c r="E299" s="39">
        <f>Calculation!D281</f>
        <v>42000</v>
      </c>
      <c r="F299" s="21">
        <f>Calculation!E281</f>
        <v>0.3004</v>
      </c>
      <c r="G299" s="22">
        <f>Calculation!F281</f>
        <v>0.17419999999999999</v>
      </c>
      <c r="H299" s="23">
        <f>Calculation!G281</f>
        <v>6.4</v>
      </c>
      <c r="I299" s="24">
        <f>Calculation!J281</f>
        <v>7318</v>
      </c>
      <c r="J299" s="6" t="str">
        <f t="shared" si="4"/>
        <v>Moderate</v>
      </c>
    </row>
    <row r="300" spans="1:10" ht="15" customHeight="1">
      <c r="A300" s="7">
        <v>281</v>
      </c>
      <c r="B300" s="6" t="s">
        <v>837</v>
      </c>
      <c r="C300" s="7" t="s">
        <v>838</v>
      </c>
      <c r="D300" s="7" t="s">
        <v>836</v>
      </c>
      <c r="E300" s="39">
        <f>Calculation!D282</f>
        <v>42000</v>
      </c>
      <c r="F300" s="21">
        <f>Calculation!E282</f>
        <v>0.316</v>
      </c>
      <c r="G300" s="22">
        <f>Calculation!F282</f>
        <v>0.18329999999999999</v>
      </c>
      <c r="H300" s="23">
        <f>Calculation!G282</f>
        <v>6.8</v>
      </c>
      <c r="I300" s="24">
        <f>Calculation!J282</f>
        <v>7698</v>
      </c>
      <c r="J300" s="6" t="str">
        <f t="shared" si="4"/>
        <v>Moderate</v>
      </c>
    </row>
    <row r="301" spans="1:10" ht="15" customHeight="1">
      <c r="A301" s="7">
        <v>282</v>
      </c>
      <c r="B301" s="6" t="s">
        <v>839</v>
      </c>
      <c r="C301" s="7" t="s">
        <v>840</v>
      </c>
      <c r="D301" s="7" t="s">
        <v>836</v>
      </c>
      <c r="E301" s="39">
        <f>Calculation!D283</f>
        <v>42000</v>
      </c>
      <c r="F301" s="21">
        <f>Calculation!E283</f>
        <v>0.316</v>
      </c>
      <c r="G301" s="22">
        <f>Calculation!F283</f>
        <v>0.18329999999999999</v>
      </c>
      <c r="H301" s="23">
        <f>Calculation!G283</f>
        <v>6.8</v>
      </c>
      <c r="I301" s="24">
        <f>Calculation!J283</f>
        <v>7698</v>
      </c>
      <c r="J301" s="6" t="str">
        <f t="shared" si="4"/>
        <v>Moderate</v>
      </c>
    </row>
    <row r="302" spans="1:10" ht="15" customHeight="1">
      <c r="A302" s="7">
        <v>283</v>
      </c>
      <c r="B302" s="6" t="s">
        <v>841</v>
      </c>
      <c r="C302" s="7" t="s">
        <v>842</v>
      </c>
      <c r="D302" s="7" t="s">
        <v>836</v>
      </c>
      <c r="E302" s="39">
        <f>Calculation!D284</f>
        <v>42000</v>
      </c>
      <c r="F302" s="21">
        <f>Calculation!E284</f>
        <v>0.35299999999999998</v>
      </c>
      <c r="G302" s="22">
        <f>Calculation!F284</f>
        <v>0.20469999999999999</v>
      </c>
      <c r="H302" s="23">
        <f>Calculation!G284</f>
        <v>7.6</v>
      </c>
      <c r="I302" s="24">
        <f>Calculation!J284</f>
        <v>8599</v>
      </c>
      <c r="J302" s="6" t="str">
        <f t="shared" si="4"/>
        <v>Moderate</v>
      </c>
    </row>
    <row r="303" spans="1:10" ht="15" customHeight="1">
      <c r="A303" s="7">
        <v>284</v>
      </c>
      <c r="B303" s="6" t="s">
        <v>843</v>
      </c>
      <c r="C303" s="7" t="s">
        <v>844</v>
      </c>
      <c r="D303" s="7" t="s">
        <v>836</v>
      </c>
      <c r="E303" s="39">
        <f>Calculation!D285</f>
        <v>42000</v>
      </c>
      <c r="F303" s="21">
        <f>Calculation!E285</f>
        <v>0.5444</v>
      </c>
      <c r="G303" s="22">
        <f>Calculation!F285</f>
        <v>0.31580000000000003</v>
      </c>
      <c r="H303" s="23">
        <f>Calculation!G285</f>
        <v>11.7</v>
      </c>
      <c r="I303" s="24">
        <f>Calculation!J285</f>
        <v>13262</v>
      </c>
      <c r="J303" s="6" t="str">
        <f t="shared" si="4"/>
        <v>High</v>
      </c>
    </row>
    <row r="304" spans="1:10" ht="15" customHeight="1">
      <c r="A304" s="7">
        <v>285</v>
      </c>
      <c r="B304" s="6" t="s">
        <v>845</v>
      </c>
      <c r="C304" s="7" t="s">
        <v>846</v>
      </c>
      <c r="D304" s="7" t="s">
        <v>836</v>
      </c>
      <c r="E304" s="39">
        <f>Calculation!D286</f>
        <v>42000</v>
      </c>
      <c r="F304" s="21">
        <f>Calculation!E286</f>
        <v>0.41349999999999998</v>
      </c>
      <c r="G304" s="22">
        <f>Calculation!F286</f>
        <v>0.23980000000000001</v>
      </c>
      <c r="H304" s="23">
        <f>Calculation!G286</f>
        <v>8.9</v>
      </c>
      <c r="I304" s="24">
        <f>Calculation!J286</f>
        <v>10073</v>
      </c>
      <c r="J304" s="6" t="str">
        <f t="shared" si="4"/>
        <v>Moderate</v>
      </c>
    </row>
    <row r="305" spans="1:10" ht="15" customHeight="1">
      <c r="A305" s="7">
        <v>286</v>
      </c>
      <c r="B305" s="6" t="s">
        <v>847</v>
      </c>
      <c r="C305" s="7" t="s">
        <v>848</v>
      </c>
      <c r="D305" s="7" t="s">
        <v>836</v>
      </c>
      <c r="E305" s="39">
        <f>Calculation!D287</f>
        <v>42000</v>
      </c>
      <c r="F305" s="21">
        <f>Calculation!E287</f>
        <v>0.3004</v>
      </c>
      <c r="G305" s="22">
        <f>Calculation!F287</f>
        <v>0.17419999999999999</v>
      </c>
      <c r="H305" s="23">
        <f>Calculation!G287</f>
        <v>6.4</v>
      </c>
      <c r="I305" s="24">
        <f>Calculation!J287</f>
        <v>7318</v>
      </c>
      <c r="J305" s="6" t="str">
        <f t="shared" si="4"/>
        <v>Moderate</v>
      </c>
    </row>
    <row r="306" spans="1:10" ht="15" customHeight="1">
      <c r="A306" s="7">
        <v>287</v>
      </c>
      <c r="B306" s="6" t="s">
        <v>849</v>
      </c>
      <c r="C306" s="7" t="s">
        <v>850</v>
      </c>
      <c r="D306" s="7" t="s">
        <v>836</v>
      </c>
      <c r="E306" s="39">
        <f>Calculation!D288</f>
        <v>42000</v>
      </c>
      <c r="F306" s="21">
        <f>Calculation!E288</f>
        <v>0.30830000000000002</v>
      </c>
      <c r="G306" s="22">
        <f>Calculation!F288</f>
        <v>0.17879999999999999</v>
      </c>
      <c r="H306" s="23">
        <f>Calculation!G288</f>
        <v>6.6</v>
      </c>
      <c r="I306" s="24">
        <f>Calculation!J288</f>
        <v>7510</v>
      </c>
      <c r="J306" s="6" t="str">
        <f t="shared" si="4"/>
        <v>Moderate</v>
      </c>
    </row>
    <row r="307" spans="1:10" ht="15" customHeight="1">
      <c r="A307" s="7">
        <v>288</v>
      </c>
      <c r="B307" s="6" t="s">
        <v>851</v>
      </c>
      <c r="C307" s="7" t="s">
        <v>852</v>
      </c>
      <c r="D307" s="7" t="s">
        <v>836</v>
      </c>
      <c r="E307" s="39">
        <f>Calculation!D289</f>
        <v>42000</v>
      </c>
      <c r="F307" s="21">
        <f>Calculation!E289</f>
        <v>0.30790000000000001</v>
      </c>
      <c r="G307" s="22">
        <f>Calculation!F289</f>
        <v>0.17860000000000001</v>
      </c>
      <c r="H307" s="23">
        <f>Calculation!G289</f>
        <v>6.6</v>
      </c>
      <c r="I307" s="24">
        <f>Calculation!J289</f>
        <v>7500</v>
      </c>
      <c r="J307" s="6" t="str">
        <f t="shared" si="4"/>
        <v>Moderate</v>
      </c>
    </row>
    <row r="308" spans="1:10" ht="15" customHeight="1">
      <c r="A308" s="7">
        <v>289</v>
      </c>
      <c r="B308" s="6" t="s">
        <v>853</v>
      </c>
      <c r="C308" s="7" t="s">
        <v>854</v>
      </c>
      <c r="D308" s="7" t="s">
        <v>836</v>
      </c>
      <c r="E308" s="39">
        <f>Calculation!D290</f>
        <v>42000</v>
      </c>
      <c r="F308" s="21">
        <f>Calculation!E290</f>
        <v>0.30830000000000002</v>
      </c>
      <c r="G308" s="22">
        <f>Calculation!F290</f>
        <v>0.17879999999999999</v>
      </c>
      <c r="H308" s="23">
        <f>Calculation!G290</f>
        <v>6.6</v>
      </c>
      <c r="I308" s="24">
        <f>Calculation!J290</f>
        <v>7510</v>
      </c>
      <c r="J308" s="6" t="str">
        <f t="shared" si="4"/>
        <v>Moderate</v>
      </c>
    </row>
    <row r="309" spans="1:10" ht="15" customHeight="1">
      <c r="A309" s="7">
        <v>290</v>
      </c>
      <c r="B309" s="6" t="s">
        <v>855</v>
      </c>
      <c r="C309" s="7" t="s">
        <v>856</v>
      </c>
      <c r="D309" s="7" t="s">
        <v>836</v>
      </c>
      <c r="E309" s="39">
        <f>Calculation!D291</f>
        <v>42000</v>
      </c>
      <c r="F309" s="21">
        <f>Calculation!E291</f>
        <v>0.37609999999999999</v>
      </c>
      <c r="G309" s="22">
        <f>Calculation!F291</f>
        <v>0.21809999999999999</v>
      </c>
      <c r="H309" s="23">
        <f>Calculation!G291</f>
        <v>8.1</v>
      </c>
      <c r="I309" s="24">
        <f>Calculation!J291</f>
        <v>9162</v>
      </c>
      <c r="J309" s="6" t="str">
        <f t="shared" si="4"/>
        <v>Moderate</v>
      </c>
    </row>
    <row r="310" spans="1:10" ht="15" customHeight="1">
      <c r="A310" s="7">
        <v>291</v>
      </c>
      <c r="B310" s="6" t="s">
        <v>857</v>
      </c>
      <c r="C310" s="7" t="s">
        <v>858</v>
      </c>
      <c r="D310" s="7" t="s">
        <v>836</v>
      </c>
      <c r="E310" s="39">
        <f>Calculation!D292</f>
        <v>42000</v>
      </c>
      <c r="F310" s="21">
        <f>Calculation!E292</f>
        <v>0.30980000000000002</v>
      </c>
      <c r="G310" s="22">
        <f>Calculation!F292</f>
        <v>0.1797</v>
      </c>
      <c r="H310" s="23">
        <f>Calculation!G292</f>
        <v>6.6</v>
      </c>
      <c r="I310" s="24">
        <f>Calculation!J292</f>
        <v>7547</v>
      </c>
      <c r="J310" s="6" t="str">
        <f t="shared" si="4"/>
        <v>Moderate</v>
      </c>
    </row>
    <row r="311" spans="1:10" ht="15" customHeight="1">
      <c r="A311" s="7">
        <v>292</v>
      </c>
      <c r="B311" s="6" t="s">
        <v>859</v>
      </c>
      <c r="C311" s="7" t="s">
        <v>860</v>
      </c>
      <c r="D311" s="7" t="s">
        <v>836</v>
      </c>
      <c r="E311" s="39">
        <f>Calculation!D293</f>
        <v>42000</v>
      </c>
      <c r="F311" s="21">
        <f>Calculation!E293</f>
        <v>0.54090000000000005</v>
      </c>
      <c r="G311" s="22">
        <f>Calculation!F293</f>
        <v>0.31369999999999998</v>
      </c>
      <c r="H311" s="23">
        <f>Calculation!G293</f>
        <v>11.6</v>
      </c>
      <c r="I311" s="24">
        <f>Calculation!J293</f>
        <v>13176</v>
      </c>
      <c r="J311" s="6" t="str">
        <f t="shared" si="4"/>
        <v>High</v>
      </c>
    </row>
    <row r="312" spans="1:10" ht="15" customHeight="1">
      <c r="A312" s="7">
        <v>293</v>
      </c>
      <c r="B312" s="6" t="s">
        <v>861</v>
      </c>
      <c r="C312" s="7" t="s">
        <v>862</v>
      </c>
      <c r="D312" s="7" t="s">
        <v>836</v>
      </c>
      <c r="E312" s="39">
        <f>Calculation!D294</f>
        <v>42000</v>
      </c>
      <c r="F312" s="21">
        <f>Calculation!E294</f>
        <v>0.3387</v>
      </c>
      <c r="G312" s="22">
        <f>Calculation!F294</f>
        <v>0.19639999999999999</v>
      </c>
      <c r="H312" s="23">
        <f>Calculation!G294</f>
        <v>7.3</v>
      </c>
      <c r="I312" s="24">
        <f>Calculation!J294</f>
        <v>8251</v>
      </c>
      <c r="J312" s="6" t="str">
        <f t="shared" si="4"/>
        <v>Moderate</v>
      </c>
    </row>
    <row r="313" spans="1:10" ht="15" customHeight="1">
      <c r="A313" s="7">
        <v>294</v>
      </c>
      <c r="B313" s="6" t="s">
        <v>863</v>
      </c>
      <c r="C313" s="7" t="s">
        <v>864</v>
      </c>
      <c r="D313" s="7" t="s">
        <v>836</v>
      </c>
      <c r="E313" s="39">
        <f>Calculation!D295</f>
        <v>42000</v>
      </c>
      <c r="F313" s="21">
        <f>Calculation!E295</f>
        <v>0.3392</v>
      </c>
      <c r="G313" s="22">
        <f>Calculation!F295</f>
        <v>0.19670000000000001</v>
      </c>
      <c r="H313" s="23">
        <f>Calculation!G295</f>
        <v>7.3</v>
      </c>
      <c r="I313" s="24">
        <f>Calculation!J295</f>
        <v>8263</v>
      </c>
      <c r="J313" s="6" t="str">
        <f t="shared" si="4"/>
        <v>Moderate</v>
      </c>
    </row>
    <row r="314" spans="1:10" ht="15" customHeight="1">
      <c r="A314" s="7">
        <v>295</v>
      </c>
      <c r="B314" s="6" t="s">
        <v>865</v>
      </c>
      <c r="C314" s="7" t="s">
        <v>866</v>
      </c>
      <c r="D314" s="7" t="s">
        <v>836</v>
      </c>
      <c r="E314" s="39">
        <f>Calculation!D296</f>
        <v>42000</v>
      </c>
      <c r="F314" s="21">
        <f>Calculation!E296</f>
        <v>0.39610000000000001</v>
      </c>
      <c r="G314" s="22">
        <f>Calculation!F296</f>
        <v>0.22969999999999999</v>
      </c>
      <c r="H314" s="23">
        <f>Calculation!G296</f>
        <v>8.5</v>
      </c>
      <c r="I314" s="24">
        <f>Calculation!J296</f>
        <v>9649</v>
      </c>
      <c r="J314" s="6" t="str">
        <f t="shared" si="4"/>
        <v>Moderate</v>
      </c>
    </row>
    <row r="315" spans="1:10" ht="15" customHeight="1">
      <c r="A315" s="7">
        <v>296</v>
      </c>
      <c r="B315" s="6" t="s">
        <v>867</v>
      </c>
      <c r="C315" s="7" t="s">
        <v>868</v>
      </c>
      <c r="D315" s="7" t="s">
        <v>836</v>
      </c>
      <c r="E315" s="39">
        <f>Calculation!D297</f>
        <v>42000</v>
      </c>
      <c r="F315" s="21">
        <f>Calculation!E297</f>
        <v>0.36649999999999999</v>
      </c>
      <c r="G315" s="22">
        <f>Calculation!F297</f>
        <v>0.21260000000000001</v>
      </c>
      <c r="H315" s="23">
        <f>Calculation!G297</f>
        <v>7.9</v>
      </c>
      <c r="I315" s="24">
        <f>Calculation!J297</f>
        <v>8928</v>
      </c>
      <c r="J315" s="6" t="str">
        <f t="shared" si="4"/>
        <v>Moderate</v>
      </c>
    </row>
    <row r="316" spans="1:10" ht="15" customHeight="1">
      <c r="A316" s="7">
        <v>297</v>
      </c>
      <c r="B316" s="6" t="s">
        <v>869</v>
      </c>
      <c r="C316" s="7" t="s">
        <v>870</v>
      </c>
      <c r="D316" s="7" t="s">
        <v>871</v>
      </c>
      <c r="E316" s="39">
        <f>Calculation!D298</f>
        <v>125267</v>
      </c>
      <c r="F316" s="21">
        <f>Calculation!E298</f>
        <v>0.43190000000000001</v>
      </c>
      <c r="G316" s="22">
        <f>Calculation!F298</f>
        <v>0.2591</v>
      </c>
      <c r="H316" s="23">
        <f>Calculation!G298</f>
        <v>9.6</v>
      </c>
      <c r="I316" s="24">
        <f>Calculation!J298</f>
        <v>32462</v>
      </c>
      <c r="J316" s="6" t="str">
        <f t="shared" si="4"/>
        <v>High</v>
      </c>
    </row>
    <row r="317" spans="1:10" ht="15" customHeight="1">
      <c r="A317" s="7">
        <v>298</v>
      </c>
      <c r="B317" s="6" t="s">
        <v>872</v>
      </c>
      <c r="C317" s="7" t="s">
        <v>873</v>
      </c>
      <c r="D317" s="7" t="s">
        <v>871</v>
      </c>
      <c r="E317" s="39">
        <f>Calculation!D299</f>
        <v>125267</v>
      </c>
      <c r="F317" s="21">
        <f>Calculation!E299</f>
        <v>0.52790000000000004</v>
      </c>
      <c r="G317" s="22">
        <f>Calculation!F299</f>
        <v>0.31669999999999998</v>
      </c>
      <c r="H317" s="23">
        <f>Calculation!G299</f>
        <v>11.7</v>
      </c>
      <c r="I317" s="24">
        <f>Calculation!J299</f>
        <v>39677</v>
      </c>
      <c r="J317" s="6" t="str">
        <f t="shared" si="4"/>
        <v>High</v>
      </c>
    </row>
    <row r="318" spans="1:10" ht="15" customHeight="1">
      <c r="A318" s="7">
        <v>299</v>
      </c>
      <c r="B318" s="6" t="s">
        <v>874</v>
      </c>
      <c r="C318" s="7" t="s">
        <v>875</v>
      </c>
      <c r="D318" s="7" t="s">
        <v>871</v>
      </c>
      <c r="E318" s="39">
        <f>Calculation!D300</f>
        <v>125267</v>
      </c>
      <c r="F318" s="21">
        <f>Calculation!E300</f>
        <v>0.54759999999999998</v>
      </c>
      <c r="G318" s="22">
        <f>Calculation!F300</f>
        <v>0.3286</v>
      </c>
      <c r="H318" s="23">
        <f>Calculation!G300</f>
        <v>12.2</v>
      </c>
      <c r="I318" s="24">
        <f>Calculation!J300</f>
        <v>41158</v>
      </c>
      <c r="J318" s="6" t="str">
        <f t="shared" si="4"/>
        <v>High</v>
      </c>
    </row>
    <row r="319" spans="1:10" ht="15" customHeight="1">
      <c r="A319" s="7">
        <v>300</v>
      </c>
      <c r="B319" s="6" t="s">
        <v>876</v>
      </c>
      <c r="C319" s="7" t="s">
        <v>877</v>
      </c>
      <c r="D319" s="7" t="s">
        <v>871</v>
      </c>
      <c r="E319" s="39">
        <f>Calculation!D301</f>
        <v>125267</v>
      </c>
      <c r="F319" s="21">
        <f>Calculation!E301</f>
        <v>0.47399999999999998</v>
      </c>
      <c r="G319" s="22">
        <f>Calculation!F301</f>
        <v>0.28439999999999999</v>
      </c>
      <c r="H319" s="23">
        <f>Calculation!G301</f>
        <v>10.5</v>
      </c>
      <c r="I319" s="24">
        <f>Calculation!J301</f>
        <v>35626</v>
      </c>
      <c r="J319" s="6" t="str">
        <f t="shared" si="4"/>
        <v>High</v>
      </c>
    </row>
    <row r="320" spans="1:10" ht="15" customHeight="1">
      <c r="A320" s="7">
        <v>301</v>
      </c>
      <c r="B320" s="6" t="s">
        <v>878</v>
      </c>
      <c r="C320" s="7" t="s">
        <v>879</v>
      </c>
      <c r="D320" s="7" t="s">
        <v>871</v>
      </c>
      <c r="E320" s="39">
        <f>Calculation!D302</f>
        <v>125267</v>
      </c>
      <c r="F320" s="21">
        <f>Calculation!E302</f>
        <v>0.41199999999999998</v>
      </c>
      <c r="G320" s="22">
        <f>Calculation!F302</f>
        <v>0.2472</v>
      </c>
      <c r="H320" s="23">
        <f>Calculation!G302</f>
        <v>9.1</v>
      </c>
      <c r="I320" s="24">
        <f>Calculation!J302</f>
        <v>30966</v>
      </c>
      <c r="J320" s="6" t="str">
        <f t="shared" si="4"/>
        <v>Moderate</v>
      </c>
    </row>
    <row r="321" spans="1:10" ht="15" customHeight="1">
      <c r="A321" s="7">
        <v>302</v>
      </c>
      <c r="B321" s="6" t="s">
        <v>880</v>
      </c>
      <c r="C321" s="7" t="s">
        <v>881</v>
      </c>
      <c r="D321" s="7" t="s">
        <v>871</v>
      </c>
      <c r="E321" s="39">
        <f>Calculation!D303</f>
        <v>125267</v>
      </c>
      <c r="F321" s="21">
        <f>Calculation!E303</f>
        <v>0.40010000000000001</v>
      </c>
      <c r="G321" s="22">
        <f>Calculation!F303</f>
        <v>0.24010000000000001</v>
      </c>
      <c r="H321" s="23">
        <f>Calculation!G303</f>
        <v>8.9</v>
      </c>
      <c r="I321" s="24">
        <f>Calculation!J303</f>
        <v>30072</v>
      </c>
      <c r="J321" s="6" t="str">
        <f t="shared" si="4"/>
        <v>Moderate</v>
      </c>
    </row>
    <row r="322" spans="1:10" ht="15" customHeight="1">
      <c r="A322" s="7">
        <v>303</v>
      </c>
      <c r="B322" s="6" t="s">
        <v>882</v>
      </c>
      <c r="C322" s="7" t="s">
        <v>883</v>
      </c>
      <c r="D322" s="7" t="s">
        <v>871</v>
      </c>
      <c r="E322" s="39">
        <f>Calculation!D304</f>
        <v>125267</v>
      </c>
      <c r="F322" s="21">
        <f>Calculation!E304</f>
        <v>0.41710000000000003</v>
      </c>
      <c r="G322" s="22">
        <f>Calculation!F304</f>
        <v>0.25030000000000002</v>
      </c>
      <c r="H322" s="23">
        <f>Calculation!G304</f>
        <v>9.3000000000000007</v>
      </c>
      <c r="I322" s="24">
        <f>Calculation!J304</f>
        <v>31349</v>
      </c>
      <c r="J322" s="6" t="str">
        <f t="shared" si="4"/>
        <v>High</v>
      </c>
    </row>
    <row r="323" spans="1:10" ht="15" customHeight="1">
      <c r="A323" s="7">
        <v>304</v>
      </c>
      <c r="B323" s="6" t="s">
        <v>884</v>
      </c>
      <c r="C323" s="7" t="s">
        <v>885</v>
      </c>
      <c r="D323" s="7" t="s">
        <v>871</v>
      </c>
      <c r="E323" s="39">
        <f>Calculation!D305</f>
        <v>125267</v>
      </c>
      <c r="F323" s="21">
        <f>Calculation!E305</f>
        <v>0.42499999999999999</v>
      </c>
      <c r="G323" s="22">
        <f>Calculation!F305</f>
        <v>0.255</v>
      </c>
      <c r="H323" s="23">
        <f>Calculation!G305</f>
        <v>9.4</v>
      </c>
      <c r="I323" s="24">
        <f>Calculation!J305</f>
        <v>31943</v>
      </c>
      <c r="J323" s="6" t="str">
        <f t="shared" si="4"/>
        <v>High</v>
      </c>
    </row>
    <row r="324" spans="1:10" ht="15" customHeight="1">
      <c r="A324" s="7">
        <v>305</v>
      </c>
      <c r="B324" s="6" t="s">
        <v>886</v>
      </c>
      <c r="C324" s="7" t="s">
        <v>887</v>
      </c>
      <c r="D324" s="7" t="s">
        <v>871</v>
      </c>
      <c r="E324" s="39">
        <f>Calculation!D306</f>
        <v>125267</v>
      </c>
      <c r="F324" s="21">
        <f>Calculation!E306</f>
        <v>0.45760000000000001</v>
      </c>
      <c r="G324" s="22">
        <f>Calculation!F306</f>
        <v>0.27460000000000001</v>
      </c>
      <c r="H324" s="23">
        <f>Calculation!G306</f>
        <v>10.199999999999999</v>
      </c>
      <c r="I324" s="24">
        <f>Calculation!J306</f>
        <v>34393</v>
      </c>
      <c r="J324" s="6" t="str">
        <f t="shared" si="4"/>
        <v>High</v>
      </c>
    </row>
    <row r="325" spans="1:10" ht="15" customHeight="1">
      <c r="A325" s="7">
        <v>306</v>
      </c>
      <c r="B325" s="6" t="s">
        <v>888</v>
      </c>
      <c r="C325" s="7" t="s">
        <v>889</v>
      </c>
      <c r="D325" s="7" t="s">
        <v>871</v>
      </c>
      <c r="E325" s="39">
        <f>Calculation!D307</f>
        <v>125267</v>
      </c>
      <c r="F325" s="21">
        <f>Calculation!E307</f>
        <v>0.41710000000000003</v>
      </c>
      <c r="G325" s="22">
        <f>Calculation!F307</f>
        <v>0.25030000000000002</v>
      </c>
      <c r="H325" s="23">
        <f>Calculation!G307</f>
        <v>9.3000000000000007</v>
      </c>
      <c r="I325" s="24">
        <f>Calculation!J307</f>
        <v>31349</v>
      </c>
      <c r="J325" s="6" t="str">
        <f t="shared" si="4"/>
        <v>High</v>
      </c>
    </row>
    <row r="326" spans="1:10" ht="15" customHeight="1">
      <c r="A326" s="7">
        <v>307</v>
      </c>
      <c r="B326" s="6" t="s">
        <v>890</v>
      </c>
      <c r="C326" s="7" t="s">
        <v>891</v>
      </c>
      <c r="D326" s="7" t="s">
        <v>871</v>
      </c>
      <c r="E326" s="39">
        <f>Calculation!D308</f>
        <v>125267</v>
      </c>
      <c r="F326" s="21">
        <f>Calculation!E308</f>
        <v>0.41349999999999998</v>
      </c>
      <c r="G326" s="22">
        <f>Calculation!F308</f>
        <v>0.24809999999999999</v>
      </c>
      <c r="H326" s="23">
        <f>Calculation!G308</f>
        <v>9.1999999999999993</v>
      </c>
      <c r="I326" s="24">
        <f>Calculation!J308</f>
        <v>31079</v>
      </c>
      <c r="J326" s="6" t="str">
        <f t="shared" si="4"/>
        <v>Moderate</v>
      </c>
    </row>
    <row r="327" spans="1:10" ht="15" customHeight="1">
      <c r="A327" s="7">
        <v>308</v>
      </c>
      <c r="B327" s="6" t="s">
        <v>892</v>
      </c>
      <c r="C327" s="7" t="s">
        <v>893</v>
      </c>
      <c r="D327" s="7" t="s">
        <v>871</v>
      </c>
      <c r="E327" s="39">
        <f>Calculation!D309</f>
        <v>125267</v>
      </c>
      <c r="F327" s="21">
        <f>Calculation!E309</f>
        <v>0.48970000000000002</v>
      </c>
      <c r="G327" s="22">
        <f>Calculation!F309</f>
        <v>0.29380000000000001</v>
      </c>
      <c r="H327" s="23">
        <f>Calculation!G309</f>
        <v>10.9</v>
      </c>
      <c r="I327" s="24">
        <f>Calculation!J309</f>
        <v>36806</v>
      </c>
      <c r="J327" s="6" t="str">
        <f t="shared" si="4"/>
        <v>High</v>
      </c>
    </row>
    <row r="328" spans="1:10" ht="15" customHeight="1">
      <c r="A328" s="7">
        <v>309</v>
      </c>
      <c r="B328" s="6" t="s">
        <v>894</v>
      </c>
      <c r="C328" s="7" t="s">
        <v>895</v>
      </c>
      <c r="D328" s="7" t="s">
        <v>871</v>
      </c>
      <c r="E328" s="39">
        <f>Calculation!D310</f>
        <v>125267</v>
      </c>
      <c r="F328" s="21">
        <f>Calculation!E310</f>
        <v>0.41089999999999999</v>
      </c>
      <c r="G328" s="22">
        <f>Calculation!F310</f>
        <v>0.2465</v>
      </c>
      <c r="H328" s="23">
        <f>Calculation!G310</f>
        <v>9.1</v>
      </c>
      <c r="I328" s="24">
        <f>Calculation!J310</f>
        <v>30883</v>
      </c>
      <c r="J328" s="6" t="str">
        <f t="shared" si="4"/>
        <v>Moderate</v>
      </c>
    </row>
    <row r="329" spans="1:10" ht="15" customHeight="1">
      <c r="A329" s="7">
        <v>310</v>
      </c>
      <c r="B329" s="6" t="s">
        <v>896</v>
      </c>
      <c r="C329" s="7" t="s">
        <v>897</v>
      </c>
      <c r="D329" s="7" t="s">
        <v>871</v>
      </c>
      <c r="E329" s="39">
        <f>Calculation!D311</f>
        <v>125267</v>
      </c>
      <c r="F329" s="21">
        <f>Calculation!E311</f>
        <v>0.35020000000000001</v>
      </c>
      <c r="G329" s="22">
        <f>Calculation!F311</f>
        <v>0.21010000000000001</v>
      </c>
      <c r="H329" s="23">
        <f>Calculation!G311</f>
        <v>7.8</v>
      </c>
      <c r="I329" s="24">
        <f>Calculation!J311</f>
        <v>26321</v>
      </c>
      <c r="J329" s="6" t="str">
        <f t="shared" si="4"/>
        <v>Moderate</v>
      </c>
    </row>
    <row r="330" spans="1:10" ht="15" customHeight="1">
      <c r="A330" s="7">
        <v>311</v>
      </c>
      <c r="B330" s="6" t="s">
        <v>898</v>
      </c>
      <c r="C330" s="7" t="s">
        <v>899</v>
      </c>
      <c r="D330" s="7" t="s">
        <v>871</v>
      </c>
      <c r="E330" s="39">
        <f>Calculation!D312</f>
        <v>125267</v>
      </c>
      <c r="F330" s="21">
        <f>Calculation!E312</f>
        <v>0.37509999999999999</v>
      </c>
      <c r="G330" s="22">
        <f>Calculation!F312</f>
        <v>0.22509999999999999</v>
      </c>
      <c r="H330" s="23">
        <f>Calculation!G312</f>
        <v>8.3000000000000007</v>
      </c>
      <c r="I330" s="24">
        <f>Calculation!J312</f>
        <v>28193</v>
      </c>
      <c r="J330" s="6" t="str">
        <f t="shared" si="4"/>
        <v>Moderate</v>
      </c>
    </row>
    <row r="331" spans="1:10" ht="15" customHeight="1">
      <c r="A331" s="7">
        <v>312</v>
      </c>
      <c r="B331" s="6" t="s">
        <v>900</v>
      </c>
      <c r="C331" s="7" t="s">
        <v>901</v>
      </c>
      <c r="D331" s="7" t="s">
        <v>902</v>
      </c>
      <c r="E331" s="39">
        <f>Calculation!D313</f>
        <v>69455</v>
      </c>
      <c r="F331" s="21">
        <f>Calculation!E313</f>
        <v>0.43819999999999998</v>
      </c>
      <c r="G331" s="22">
        <f>Calculation!F313</f>
        <v>0.24099999999999999</v>
      </c>
      <c r="H331" s="23">
        <f>Calculation!G313</f>
        <v>8.9</v>
      </c>
      <c r="I331" s="24">
        <f>Calculation!J313</f>
        <v>16739</v>
      </c>
      <c r="J331" s="6" t="str">
        <f t="shared" si="4"/>
        <v>Moderate</v>
      </c>
    </row>
    <row r="332" spans="1:10" ht="15" customHeight="1">
      <c r="A332" s="7">
        <v>313</v>
      </c>
      <c r="B332" s="6" t="s">
        <v>903</v>
      </c>
      <c r="C332" s="7" t="s">
        <v>904</v>
      </c>
      <c r="D332" s="7" t="s">
        <v>902</v>
      </c>
      <c r="E332" s="39">
        <f>Calculation!D314</f>
        <v>69455</v>
      </c>
      <c r="F332" s="21">
        <f>Calculation!E314</f>
        <v>0.44169999999999998</v>
      </c>
      <c r="G332" s="22">
        <f>Calculation!F314</f>
        <v>0.2429</v>
      </c>
      <c r="H332" s="23">
        <f>Calculation!G314</f>
        <v>9</v>
      </c>
      <c r="I332" s="24">
        <f>Calculation!J314</f>
        <v>16873</v>
      </c>
      <c r="J332" s="6" t="str">
        <f t="shared" si="4"/>
        <v>Moderate</v>
      </c>
    </row>
    <row r="333" spans="1:10" ht="15" customHeight="1">
      <c r="A333" s="7">
        <v>314</v>
      </c>
      <c r="B333" s="6" t="s">
        <v>905</v>
      </c>
      <c r="C333" s="7" t="s">
        <v>906</v>
      </c>
      <c r="D333" s="7" t="s">
        <v>902</v>
      </c>
      <c r="E333" s="39">
        <f>Calculation!D315</f>
        <v>69455</v>
      </c>
      <c r="F333" s="21">
        <f>Calculation!E315</f>
        <v>0.28870000000000001</v>
      </c>
      <c r="G333" s="22">
        <f>Calculation!F315</f>
        <v>0.1588</v>
      </c>
      <c r="H333" s="23">
        <f>Calculation!G315</f>
        <v>5.9</v>
      </c>
      <c r="I333" s="24">
        <f>Calculation!J315</f>
        <v>11028</v>
      </c>
      <c r="J333" s="6" t="str">
        <f t="shared" si="4"/>
        <v>Moderate</v>
      </c>
    </row>
    <row r="334" spans="1:10" ht="15" customHeight="1">
      <c r="A334" s="7">
        <v>315</v>
      </c>
      <c r="B334" s="6" t="s">
        <v>907</v>
      </c>
      <c r="C334" s="7" t="s">
        <v>908</v>
      </c>
      <c r="D334" s="7" t="s">
        <v>902</v>
      </c>
      <c r="E334" s="39">
        <f>Calculation!D316</f>
        <v>69455</v>
      </c>
      <c r="F334" s="21">
        <f>Calculation!E316</f>
        <v>0.3538</v>
      </c>
      <c r="G334" s="22">
        <f>Calculation!F316</f>
        <v>0.1946</v>
      </c>
      <c r="H334" s="23">
        <f>Calculation!G316</f>
        <v>7.2</v>
      </c>
      <c r="I334" s="24">
        <f>Calculation!J316</f>
        <v>13515</v>
      </c>
      <c r="J334" s="6" t="str">
        <f t="shared" si="4"/>
        <v>Moderate</v>
      </c>
    </row>
    <row r="335" spans="1:10" ht="15" customHeight="1">
      <c r="A335" s="7">
        <v>316</v>
      </c>
      <c r="B335" s="6" t="s">
        <v>909</v>
      </c>
      <c r="C335" s="7" t="s">
        <v>910</v>
      </c>
      <c r="D335" s="7" t="s">
        <v>902</v>
      </c>
      <c r="E335" s="39">
        <f>Calculation!D317</f>
        <v>69455</v>
      </c>
      <c r="F335" s="21">
        <f>Calculation!E317</f>
        <v>0.41199999999999998</v>
      </c>
      <c r="G335" s="22">
        <f>Calculation!F317</f>
        <v>0.2266</v>
      </c>
      <c r="H335" s="23">
        <f>Calculation!G317</f>
        <v>8.4</v>
      </c>
      <c r="I335" s="24">
        <f>Calculation!J317</f>
        <v>15739</v>
      </c>
      <c r="J335" s="6" t="str">
        <f t="shared" si="4"/>
        <v>Moderate</v>
      </c>
    </row>
    <row r="336" spans="1:10" ht="15" customHeight="1">
      <c r="A336" s="7">
        <v>317</v>
      </c>
      <c r="B336" s="6" t="s">
        <v>911</v>
      </c>
      <c r="C336" s="7" t="s">
        <v>912</v>
      </c>
      <c r="D336" s="7" t="s">
        <v>902</v>
      </c>
      <c r="E336" s="39">
        <f>Calculation!D318</f>
        <v>69455</v>
      </c>
      <c r="F336" s="21">
        <f>Calculation!E318</f>
        <v>0.44</v>
      </c>
      <c r="G336" s="22">
        <f>Calculation!F318</f>
        <v>0.24199999999999999</v>
      </c>
      <c r="H336" s="23">
        <f>Calculation!G318</f>
        <v>9</v>
      </c>
      <c r="I336" s="24">
        <f>Calculation!J318</f>
        <v>16808</v>
      </c>
      <c r="J336" s="6" t="str">
        <f t="shared" si="4"/>
        <v>Moderate</v>
      </c>
    </row>
    <row r="337" spans="1:10" ht="15" customHeight="1">
      <c r="A337" s="7">
        <v>318</v>
      </c>
      <c r="B337" s="6" t="s">
        <v>913</v>
      </c>
      <c r="C337" s="7" t="s">
        <v>914</v>
      </c>
      <c r="D337" s="7" t="s">
        <v>902</v>
      </c>
      <c r="E337" s="39">
        <f>Calculation!D319</f>
        <v>69455</v>
      </c>
      <c r="F337" s="21">
        <f>Calculation!E319</f>
        <v>0.69569999999999999</v>
      </c>
      <c r="G337" s="22">
        <f>Calculation!F319</f>
        <v>0.3826</v>
      </c>
      <c r="H337" s="23">
        <f>Calculation!G319</f>
        <v>14.2</v>
      </c>
      <c r="I337" s="24">
        <f>Calculation!J319</f>
        <v>26576</v>
      </c>
      <c r="J337" s="6" t="str">
        <f t="shared" si="4"/>
        <v>Transformative</v>
      </c>
    </row>
    <row r="338" spans="1:10" ht="15" customHeight="1">
      <c r="A338" s="7">
        <v>319</v>
      </c>
      <c r="B338" s="6" t="s">
        <v>915</v>
      </c>
      <c r="C338" s="7" t="s">
        <v>916</v>
      </c>
      <c r="D338" s="7" t="s">
        <v>902</v>
      </c>
      <c r="E338" s="39">
        <f>Calculation!D320</f>
        <v>69455</v>
      </c>
      <c r="F338" s="21">
        <f>Calculation!E320</f>
        <v>0.5857</v>
      </c>
      <c r="G338" s="22">
        <f>Calculation!F320</f>
        <v>0.3221</v>
      </c>
      <c r="H338" s="23">
        <f>Calculation!G320</f>
        <v>11.9</v>
      </c>
      <c r="I338" s="24">
        <f>Calculation!J320</f>
        <v>22374</v>
      </c>
      <c r="J338" s="6" t="str">
        <f t="shared" si="4"/>
        <v>High</v>
      </c>
    </row>
    <row r="339" spans="1:10" ht="15" customHeight="1">
      <c r="A339" s="7">
        <v>320</v>
      </c>
      <c r="B339" s="6" t="s">
        <v>917</v>
      </c>
      <c r="C339" s="7" t="s">
        <v>918</v>
      </c>
      <c r="D339" s="7" t="s">
        <v>902</v>
      </c>
      <c r="E339" s="39">
        <f>Calculation!D321</f>
        <v>69455</v>
      </c>
      <c r="F339" s="21">
        <f>Calculation!E321</f>
        <v>0.3538</v>
      </c>
      <c r="G339" s="22">
        <f>Calculation!F321</f>
        <v>0.1946</v>
      </c>
      <c r="H339" s="23">
        <f>Calculation!G321</f>
        <v>7.2</v>
      </c>
      <c r="I339" s="24">
        <f>Calculation!J321</f>
        <v>13515</v>
      </c>
      <c r="J339" s="6" t="str">
        <f t="shared" si="4"/>
        <v>Moderate</v>
      </c>
    </row>
    <row r="340" spans="1:10" ht="15" customHeight="1">
      <c r="A340" s="7">
        <v>321</v>
      </c>
      <c r="B340" s="6" t="s">
        <v>919</v>
      </c>
      <c r="C340" s="7" t="s">
        <v>920</v>
      </c>
      <c r="D340" s="7" t="s">
        <v>902</v>
      </c>
      <c r="E340" s="39">
        <f>Calculation!D322</f>
        <v>69455</v>
      </c>
      <c r="F340" s="21">
        <f>Calculation!E322</f>
        <v>0.47320000000000001</v>
      </c>
      <c r="G340" s="22">
        <f>Calculation!F322</f>
        <v>0.26029999999999998</v>
      </c>
      <c r="H340" s="23">
        <f>Calculation!G322</f>
        <v>9.6</v>
      </c>
      <c r="I340" s="24">
        <f>Calculation!J322</f>
        <v>18076</v>
      </c>
      <c r="J340" s="6" t="str">
        <f t="shared" ref="J340:J403" si="5">IF(G340&gt;=35%,"Transformative",IF(G340&gt;=25%,"High",IF(G340&gt;=15%,"Moderate","Low")))</f>
        <v>High</v>
      </c>
    </row>
    <row r="341" spans="1:10" ht="15" customHeight="1">
      <c r="A341" s="7">
        <v>322</v>
      </c>
      <c r="B341" s="6" t="s">
        <v>921</v>
      </c>
      <c r="C341" s="7" t="s">
        <v>922</v>
      </c>
      <c r="D341" s="7" t="s">
        <v>902</v>
      </c>
      <c r="E341" s="39">
        <f>Calculation!D323</f>
        <v>69455</v>
      </c>
      <c r="F341" s="21">
        <f>Calculation!E323</f>
        <v>0.5907</v>
      </c>
      <c r="G341" s="22">
        <f>Calculation!F323</f>
        <v>0.32490000000000002</v>
      </c>
      <c r="H341" s="23">
        <f>Calculation!G323</f>
        <v>12</v>
      </c>
      <c r="I341" s="24">
        <f>Calculation!J323</f>
        <v>22565</v>
      </c>
      <c r="J341" s="6" t="str">
        <f t="shared" si="5"/>
        <v>High</v>
      </c>
    </row>
    <row r="342" spans="1:10" ht="15" customHeight="1">
      <c r="A342" s="7">
        <v>323</v>
      </c>
      <c r="B342" s="6" t="s">
        <v>923</v>
      </c>
      <c r="C342" s="7" t="s">
        <v>924</v>
      </c>
      <c r="D342" s="7" t="s">
        <v>925</v>
      </c>
      <c r="E342" s="39">
        <f>Calculation!D324</f>
        <v>54000</v>
      </c>
      <c r="F342" s="21">
        <f>Calculation!E324</f>
        <v>0.52939999999999998</v>
      </c>
      <c r="G342" s="22">
        <f>Calculation!F324</f>
        <v>0.30709999999999998</v>
      </c>
      <c r="H342" s="23">
        <f>Calculation!G324</f>
        <v>11.4</v>
      </c>
      <c r="I342" s="24">
        <f>Calculation!J324</f>
        <v>16581</v>
      </c>
      <c r="J342" s="6" t="str">
        <f t="shared" si="5"/>
        <v>High</v>
      </c>
    </row>
    <row r="343" spans="1:10" ht="15" customHeight="1">
      <c r="A343" s="7">
        <v>324</v>
      </c>
      <c r="B343" s="6" t="s">
        <v>926</v>
      </c>
      <c r="C343" s="7" t="s">
        <v>927</v>
      </c>
      <c r="D343" s="7" t="s">
        <v>925</v>
      </c>
      <c r="E343" s="39">
        <f>Calculation!D325</f>
        <v>54000</v>
      </c>
      <c r="F343" s="21">
        <f>Calculation!E325</f>
        <v>0.40539999999999998</v>
      </c>
      <c r="G343" s="22">
        <f>Calculation!F325</f>
        <v>0.2351</v>
      </c>
      <c r="H343" s="23">
        <f>Calculation!G325</f>
        <v>8.6999999999999993</v>
      </c>
      <c r="I343" s="24">
        <f>Calculation!J325</f>
        <v>12697</v>
      </c>
      <c r="J343" s="6" t="str">
        <f t="shared" si="5"/>
        <v>Moderate</v>
      </c>
    </row>
    <row r="344" spans="1:10" ht="15" customHeight="1">
      <c r="A344" s="7">
        <v>325</v>
      </c>
      <c r="B344" s="6" t="s">
        <v>928</v>
      </c>
      <c r="C344" s="7" t="s">
        <v>929</v>
      </c>
      <c r="D344" s="7" t="s">
        <v>930</v>
      </c>
      <c r="E344" s="39">
        <f>Calculation!D326</f>
        <v>109800</v>
      </c>
      <c r="F344" s="21">
        <f>Calculation!E326</f>
        <v>0.57489999999999997</v>
      </c>
      <c r="G344" s="22">
        <f>Calculation!F326</f>
        <v>0.2989</v>
      </c>
      <c r="H344" s="23">
        <f>Calculation!G326</f>
        <v>11.1</v>
      </c>
      <c r="I344" s="24">
        <f>Calculation!J326</f>
        <v>32824</v>
      </c>
      <c r="J344" s="6" t="str">
        <f t="shared" si="5"/>
        <v>High</v>
      </c>
    </row>
    <row r="345" spans="1:10" ht="15" customHeight="1">
      <c r="A345" s="7">
        <v>326</v>
      </c>
      <c r="B345" s="6" t="s">
        <v>931</v>
      </c>
      <c r="C345" s="7" t="s">
        <v>932</v>
      </c>
      <c r="D345" s="7" t="s">
        <v>930</v>
      </c>
      <c r="E345" s="39">
        <f>Calculation!D327</f>
        <v>109800</v>
      </c>
      <c r="F345" s="21">
        <f>Calculation!E327</f>
        <v>0.52490000000000003</v>
      </c>
      <c r="G345" s="22">
        <f>Calculation!F327</f>
        <v>0.27289999999999998</v>
      </c>
      <c r="H345" s="23">
        <f>Calculation!G327</f>
        <v>10.1</v>
      </c>
      <c r="I345" s="24">
        <f>Calculation!J327</f>
        <v>29970</v>
      </c>
      <c r="J345" s="6" t="str">
        <f t="shared" si="5"/>
        <v>High</v>
      </c>
    </row>
    <row r="346" spans="1:10" ht="15" customHeight="1">
      <c r="A346" s="7">
        <v>327</v>
      </c>
      <c r="B346" s="6" t="s">
        <v>933</v>
      </c>
      <c r="C346" s="7" t="s">
        <v>934</v>
      </c>
      <c r="D346" s="7" t="s">
        <v>930</v>
      </c>
      <c r="E346" s="39">
        <f>Calculation!D328</f>
        <v>109800</v>
      </c>
      <c r="F346" s="21">
        <f>Calculation!E328</f>
        <v>0.71719999999999995</v>
      </c>
      <c r="G346" s="22">
        <f>Calculation!F328</f>
        <v>0.37290000000000001</v>
      </c>
      <c r="H346" s="23">
        <f>Calculation!G328</f>
        <v>13.8</v>
      </c>
      <c r="I346" s="24">
        <f>Calculation!J328</f>
        <v>40949</v>
      </c>
      <c r="J346" s="6" t="str">
        <f t="shared" si="5"/>
        <v>Transformative</v>
      </c>
    </row>
    <row r="347" spans="1:10" ht="15" customHeight="1">
      <c r="A347" s="7">
        <v>328</v>
      </c>
      <c r="B347" s="6" t="s">
        <v>935</v>
      </c>
      <c r="C347" s="7" t="s">
        <v>936</v>
      </c>
      <c r="D347" s="7" t="s">
        <v>930</v>
      </c>
      <c r="E347" s="39">
        <f>Calculation!D329</f>
        <v>109800</v>
      </c>
      <c r="F347" s="21">
        <f>Calculation!E329</f>
        <v>0.6159</v>
      </c>
      <c r="G347" s="22">
        <f>Calculation!F329</f>
        <v>0.32029999999999997</v>
      </c>
      <c r="H347" s="23">
        <f>Calculation!G329</f>
        <v>11.8</v>
      </c>
      <c r="I347" s="24">
        <f>Calculation!J329</f>
        <v>35165</v>
      </c>
      <c r="J347" s="6" t="str">
        <f t="shared" si="5"/>
        <v>High</v>
      </c>
    </row>
    <row r="348" spans="1:10" ht="15" customHeight="1">
      <c r="A348" s="7">
        <v>329</v>
      </c>
      <c r="B348" s="6" t="s">
        <v>937</v>
      </c>
      <c r="C348" s="7" t="s">
        <v>938</v>
      </c>
      <c r="D348" s="7" t="s">
        <v>930</v>
      </c>
      <c r="E348" s="39">
        <f>Calculation!D330</f>
        <v>109800</v>
      </c>
      <c r="F348" s="21">
        <f>Calculation!E330</f>
        <v>0.6321</v>
      </c>
      <c r="G348" s="22">
        <f>Calculation!F330</f>
        <v>0.32869999999999999</v>
      </c>
      <c r="H348" s="23">
        <f>Calculation!G330</f>
        <v>12.2</v>
      </c>
      <c r="I348" s="24">
        <f>Calculation!J330</f>
        <v>36090</v>
      </c>
      <c r="J348" s="6" t="str">
        <f t="shared" si="5"/>
        <v>High</v>
      </c>
    </row>
    <row r="349" spans="1:10" ht="15" customHeight="1">
      <c r="A349" s="7">
        <v>330</v>
      </c>
      <c r="B349" s="6" t="s">
        <v>939</v>
      </c>
      <c r="C349" s="7" t="s">
        <v>940</v>
      </c>
      <c r="D349" s="7" t="s">
        <v>930</v>
      </c>
      <c r="E349" s="39">
        <f>Calculation!D331</f>
        <v>109800</v>
      </c>
      <c r="F349" s="21">
        <f>Calculation!E331</f>
        <v>0.62380000000000002</v>
      </c>
      <c r="G349" s="22">
        <f>Calculation!F331</f>
        <v>0.32440000000000002</v>
      </c>
      <c r="H349" s="23">
        <f>Calculation!G331</f>
        <v>12</v>
      </c>
      <c r="I349" s="24">
        <f>Calculation!J331</f>
        <v>35616</v>
      </c>
      <c r="J349" s="6" t="str">
        <f t="shared" si="5"/>
        <v>High</v>
      </c>
    </row>
    <row r="350" spans="1:10" ht="15" customHeight="1">
      <c r="A350" s="7">
        <v>331</v>
      </c>
      <c r="B350" s="6" t="s">
        <v>941</v>
      </c>
      <c r="C350" s="7" t="s">
        <v>942</v>
      </c>
      <c r="D350" s="7" t="s">
        <v>930</v>
      </c>
      <c r="E350" s="39">
        <f>Calculation!D332</f>
        <v>109800</v>
      </c>
      <c r="F350" s="21">
        <f>Calculation!E332</f>
        <v>0.62570000000000003</v>
      </c>
      <c r="G350" s="22">
        <f>Calculation!F332</f>
        <v>0.32540000000000002</v>
      </c>
      <c r="H350" s="23">
        <f>Calculation!G332</f>
        <v>12</v>
      </c>
      <c r="I350" s="24">
        <f>Calculation!J332</f>
        <v>35725</v>
      </c>
      <c r="J350" s="6" t="str">
        <f t="shared" si="5"/>
        <v>High</v>
      </c>
    </row>
    <row r="351" spans="1:10" ht="15" customHeight="1">
      <c r="A351" s="7">
        <v>332</v>
      </c>
      <c r="B351" s="6" t="s">
        <v>943</v>
      </c>
      <c r="C351" s="7" t="s">
        <v>944</v>
      </c>
      <c r="D351" s="7" t="s">
        <v>930</v>
      </c>
      <c r="E351" s="39">
        <f>Calculation!D333</f>
        <v>109800</v>
      </c>
      <c r="F351" s="21">
        <f>Calculation!E333</f>
        <v>0.6512</v>
      </c>
      <c r="G351" s="22">
        <f>Calculation!F333</f>
        <v>0.33860000000000001</v>
      </c>
      <c r="H351" s="23">
        <f>Calculation!G333</f>
        <v>12.5</v>
      </c>
      <c r="I351" s="24">
        <f>Calculation!J333</f>
        <v>37181</v>
      </c>
      <c r="J351" s="6" t="str">
        <f t="shared" si="5"/>
        <v>High</v>
      </c>
    </row>
    <row r="352" spans="1:10" ht="15" customHeight="1">
      <c r="A352" s="7">
        <v>333</v>
      </c>
      <c r="B352" s="6" t="s">
        <v>945</v>
      </c>
      <c r="C352" s="7" t="s">
        <v>946</v>
      </c>
      <c r="D352" s="7" t="s">
        <v>930</v>
      </c>
      <c r="E352" s="39">
        <f>Calculation!D334</f>
        <v>109800</v>
      </c>
      <c r="F352" s="21">
        <f>Calculation!E334</f>
        <v>0.46650000000000003</v>
      </c>
      <c r="G352" s="22">
        <f>Calculation!F334</f>
        <v>0.24260000000000001</v>
      </c>
      <c r="H352" s="23">
        <f>Calculation!G334</f>
        <v>9</v>
      </c>
      <c r="I352" s="24">
        <f>Calculation!J334</f>
        <v>26635</v>
      </c>
      <c r="J352" s="6" t="str">
        <f t="shared" si="5"/>
        <v>Moderate</v>
      </c>
    </row>
    <row r="353" spans="1:10" ht="15" customHeight="1">
      <c r="A353" s="7">
        <v>334</v>
      </c>
      <c r="B353" s="6" t="s">
        <v>947</v>
      </c>
      <c r="C353" s="7" t="s">
        <v>948</v>
      </c>
      <c r="D353" s="7" t="s">
        <v>930</v>
      </c>
      <c r="E353" s="39">
        <f>Calculation!D335</f>
        <v>109800</v>
      </c>
      <c r="F353" s="21">
        <f>Calculation!E335</f>
        <v>0.49540000000000001</v>
      </c>
      <c r="G353" s="22">
        <f>Calculation!F335</f>
        <v>0.2576</v>
      </c>
      <c r="H353" s="23">
        <f>Calculation!G335</f>
        <v>9.5</v>
      </c>
      <c r="I353" s="24">
        <f>Calculation!J335</f>
        <v>28285</v>
      </c>
      <c r="J353" s="6" t="str">
        <f t="shared" si="5"/>
        <v>High</v>
      </c>
    </row>
    <row r="354" spans="1:10" ht="15" customHeight="1">
      <c r="A354" s="7">
        <v>335</v>
      </c>
      <c r="B354" s="6" t="s">
        <v>949</v>
      </c>
      <c r="C354" s="7" t="s">
        <v>950</v>
      </c>
      <c r="D354" s="7" t="s">
        <v>930</v>
      </c>
      <c r="E354" s="39">
        <f>Calculation!D336</f>
        <v>109800</v>
      </c>
      <c r="F354" s="21">
        <f>Calculation!E336</f>
        <v>0.63770000000000004</v>
      </c>
      <c r="G354" s="22">
        <f>Calculation!F336</f>
        <v>0.33160000000000001</v>
      </c>
      <c r="H354" s="23">
        <f>Calculation!G336</f>
        <v>12.3</v>
      </c>
      <c r="I354" s="24">
        <f>Calculation!J336</f>
        <v>36410</v>
      </c>
      <c r="J354" s="6" t="str">
        <f t="shared" si="5"/>
        <v>High</v>
      </c>
    </row>
    <row r="355" spans="1:10" ht="15" customHeight="1">
      <c r="A355" s="7">
        <v>336</v>
      </c>
      <c r="B355" s="6" t="s">
        <v>951</v>
      </c>
      <c r="C355" s="7" t="s">
        <v>952</v>
      </c>
      <c r="D355" s="7" t="s">
        <v>930</v>
      </c>
      <c r="E355" s="39">
        <f>Calculation!D337</f>
        <v>109800</v>
      </c>
      <c r="F355" s="21">
        <f>Calculation!E337</f>
        <v>0.58750000000000002</v>
      </c>
      <c r="G355" s="22">
        <f>Calculation!F337</f>
        <v>0.30549999999999999</v>
      </c>
      <c r="H355" s="23">
        <f>Calculation!G337</f>
        <v>11.3</v>
      </c>
      <c r="I355" s="24">
        <f>Calculation!J337</f>
        <v>33544</v>
      </c>
      <c r="J355" s="6" t="str">
        <f t="shared" si="5"/>
        <v>High</v>
      </c>
    </row>
    <row r="356" spans="1:10" ht="15" customHeight="1">
      <c r="A356" s="7">
        <v>337</v>
      </c>
      <c r="B356" s="6" t="s">
        <v>953</v>
      </c>
      <c r="C356" s="7" t="s">
        <v>335</v>
      </c>
      <c r="D356" s="7" t="s">
        <v>930</v>
      </c>
      <c r="E356" s="39">
        <f>Calculation!D338</f>
        <v>109800</v>
      </c>
      <c r="F356" s="21">
        <f>Calculation!E338</f>
        <v>0.61380000000000001</v>
      </c>
      <c r="G356" s="22">
        <f>Calculation!F338</f>
        <v>0.31919999999999998</v>
      </c>
      <c r="H356" s="23">
        <f>Calculation!G338</f>
        <v>11.8</v>
      </c>
      <c r="I356" s="24">
        <f>Calculation!J338</f>
        <v>35046</v>
      </c>
      <c r="J356" s="6" t="str">
        <f t="shared" si="5"/>
        <v>High</v>
      </c>
    </row>
    <row r="357" spans="1:10" ht="15" customHeight="1">
      <c r="A357" s="7">
        <v>338</v>
      </c>
      <c r="B357" s="6" t="s">
        <v>954</v>
      </c>
      <c r="C357" s="7" t="s">
        <v>955</v>
      </c>
      <c r="D357" s="7" t="s">
        <v>930</v>
      </c>
      <c r="E357" s="39">
        <f>Calculation!D339</f>
        <v>109800</v>
      </c>
      <c r="F357" s="21">
        <f>Calculation!E339</f>
        <v>0.60599999999999998</v>
      </c>
      <c r="G357" s="22">
        <f>Calculation!F339</f>
        <v>0.31509999999999999</v>
      </c>
      <c r="H357" s="23">
        <f>Calculation!G339</f>
        <v>11.7</v>
      </c>
      <c r="I357" s="24">
        <f>Calculation!J339</f>
        <v>34600</v>
      </c>
      <c r="J357" s="6" t="str">
        <f t="shared" si="5"/>
        <v>High</v>
      </c>
    </row>
    <row r="358" spans="1:10" ht="15" customHeight="1">
      <c r="A358" s="7">
        <v>339</v>
      </c>
      <c r="B358" s="6" t="s">
        <v>956</v>
      </c>
      <c r="C358" s="7" t="s">
        <v>957</v>
      </c>
      <c r="D358" s="7" t="s">
        <v>930</v>
      </c>
      <c r="E358" s="39">
        <f>Calculation!D340</f>
        <v>109800</v>
      </c>
      <c r="F358" s="21">
        <f>Calculation!E340</f>
        <v>0.61319999999999997</v>
      </c>
      <c r="G358" s="22">
        <f>Calculation!F340</f>
        <v>0.31890000000000002</v>
      </c>
      <c r="H358" s="23">
        <f>Calculation!G340</f>
        <v>11.8</v>
      </c>
      <c r="I358" s="24">
        <f>Calculation!J340</f>
        <v>35011</v>
      </c>
      <c r="J358" s="6" t="str">
        <f t="shared" si="5"/>
        <v>High</v>
      </c>
    </row>
    <row r="359" spans="1:10" ht="15" customHeight="1">
      <c r="A359" s="7">
        <v>340</v>
      </c>
      <c r="B359" s="6" t="s">
        <v>958</v>
      </c>
      <c r="C359" s="7" t="s">
        <v>959</v>
      </c>
      <c r="D359" s="7" t="s">
        <v>960</v>
      </c>
      <c r="E359" s="39">
        <f>Calculation!D341</f>
        <v>92667</v>
      </c>
      <c r="F359" s="21">
        <f>Calculation!E341</f>
        <v>0.7964</v>
      </c>
      <c r="G359" s="22">
        <f>Calculation!F341</f>
        <v>0.38229999999999997</v>
      </c>
      <c r="H359" s="23">
        <f>Calculation!G341</f>
        <v>14.1</v>
      </c>
      <c r="I359" s="24">
        <f>Calculation!J341</f>
        <v>35424</v>
      </c>
      <c r="J359" s="6" t="str">
        <f t="shared" si="5"/>
        <v>Transformative</v>
      </c>
    </row>
    <row r="360" spans="1:10" ht="15" customHeight="1">
      <c r="A360" s="7">
        <v>341</v>
      </c>
      <c r="B360" s="6" t="s">
        <v>961</v>
      </c>
      <c r="C360" s="7" t="s">
        <v>962</v>
      </c>
      <c r="D360" s="7" t="s">
        <v>960</v>
      </c>
      <c r="E360" s="39">
        <f>Calculation!D342</f>
        <v>92667</v>
      </c>
      <c r="F360" s="21">
        <f>Calculation!E342</f>
        <v>0.78039999999999998</v>
      </c>
      <c r="G360" s="22">
        <f>Calculation!F342</f>
        <v>0.37459999999999999</v>
      </c>
      <c r="H360" s="23">
        <f>Calculation!G342</f>
        <v>13.9</v>
      </c>
      <c r="I360" s="24">
        <f>Calculation!J342</f>
        <v>34712</v>
      </c>
      <c r="J360" s="6" t="str">
        <f t="shared" si="5"/>
        <v>Transformative</v>
      </c>
    </row>
    <row r="361" spans="1:10" ht="15" customHeight="1">
      <c r="A361" s="7">
        <v>342</v>
      </c>
      <c r="B361" s="6" t="s">
        <v>963</v>
      </c>
      <c r="C361" s="7" t="s">
        <v>964</v>
      </c>
      <c r="D361" s="7" t="s">
        <v>960</v>
      </c>
      <c r="E361" s="39">
        <f>Calculation!D343</f>
        <v>92667</v>
      </c>
      <c r="F361" s="21">
        <f>Calculation!E343</f>
        <v>0.68069999999999997</v>
      </c>
      <c r="G361" s="22">
        <f>Calculation!F343</f>
        <v>0.32669999999999999</v>
      </c>
      <c r="H361" s="23">
        <f>Calculation!G343</f>
        <v>12.1</v>
      </c>
      <c r="I361" s="24">
        <f>Calculation!J343</f>
        <v>30278</v>
      </c>
      <c r="J361" s="6" t="str">
        <f t="shared" si="5"/>
        <v>High</v>
      </c>
    </row>
    <row r="362" spans="1:10" ht="15" customHeight="1">
      <c r="A362" s="7">
        <v>343</v>
      </c>
      <c r="B362" s="6" t="s">
        <v>965</v>
      </c>
      <c r="C362" s="7" t="s">
        <v>966</v>
      </c>
      <c r="D362" s="7" t="s">
        <v>960</v>
      </c>
      <c r="E362" s="39">
        <f>Calculation!D344</f>
        <v>92667</v>
      </c>
      <c r="F362" s="21">
        <f>Calculation!E344</f>
        <v>0.69410000000000005</v>
      </c>
      <c r="G362" s="22">
        <f>Calculation!F344</f>
        <v>0.3332</v>
      </c>
      <c r="H362" s="23">
        <f>Calculation!G344</f>
        <v>12.3</v>
      </c>
      <c r="I362" s="24">
        <f>Calculation!J344</f>
        <v>30874</v>
      </c>
      <c r="J362" s="6" t="str">
        <f t="shared" si="5"/>
        <v>High</v>
      </c>
    </row>
    <row r="363" spans="1:10" ht="15" customHeight="1">
      <c r="A363" s="7">
        <v>344</v>
      </c>
      <c r="B363" s="6" t="s">
        <v>967</v>
      </c>
      <c r="C363" s="7" t="s">
        <v>968</v>
      </c>
      <c r="D363" s="7" t="s">
        <v>960</v>
      </c>
      <c r="E363" s="39">
        <f>Calculation!D345</f>
        <v>92667</v>
      </c>
      <c r="F363" s="21">
        <f>Calculation!E345</f>
        <v>0.64249999999999996</v>
      </c>
      <c r="G363" s="22">
        <f>Calculation!F345</f>
        <v>0.30840000000000001</v>
      </c>
      <c r="H363" s="23">
        <f>Calculation!G345</f>
        <v>11.4</v>
      </c>
      <c r="I363" s="24">
        <f>Calculation!J345</f>
        <v>28579</v>
      </c>
      <c r="J363" s="6" t="str">
        <f t="shared" si="5"/>
        <v>High</v>
      </c>
    </row>
    <row r="364" spans="1:10" ht="15" customHeight="1">
      <c r="A364" s="7">
        <v>345</v>
      </c>
      <c r="B364" s="6" t="s">
        <v>969</v>
      </c>
      <c r="C364" s="7" t="s">
        <v>970</v>
      </c>
      <c r="D364" s="7" t="s">
        <v>960</v>
      </c>
      <c r="E364" s="39">
        <f>Calculation!D346</f>
        <v>92667</v>
      </c>
      <c r="F364" s="21">
        <f>Calculation!E346</f>
        <v>0.74329999999999996</v>
      </c>
      <c r="G364" s="22">
        <f>Calculation!F346</f>
        <v>0.35680000000000001</v>
      </c>
      <c r="H364" s="23">
        <f>Calculation!G346</f>
        <v>13.2</v>
      </c>
      <c r="I364" s="24">
        <f>Calculation!J346</f>
        <v>33062</v>
      </c>
      <c r="J364" s="6" t="str">
        <f t="shared" si="5"/>
        <v>Transformative</v>
      </c>
    </row>
    <row r="365" spans="1:10" ht="15" customHeight="1">
      <c r="A365" s="7">
        <v>346</v>
      </c>
      <c r="B365" s="6" t="s">
        <v>971</v>
      </c>
      <c r="C365" s="7" t="s">
        <v>972</v>
      </c>
      <c r="D365" s="7" t="s">
        <v>973</v>
      </c>
      <c r="E365" s="39">
        <f>Calculation!D347</f>
        <v>40308</v>
      </c>
      <c r="F365" s="21">
        <f>Calculation!E347</f>
        <v>0.313</v>
      </c>
      <c r="G365" s="22">
        <f>Calculation!F347</f>
        <v>0.18779999999999999</v>
      </c>
      <c r="H365" s="23">
        <f>Calculation!G347</f>
        <v>6.9</v>
      </c>
      <c r="I365" s="24">
        <f>Calculation!J347</f>
        <v>7570</v>
      </c>
      <c r="J365" s="6" t="str">
        <f t="shared" si="5"/>
        <v>Moderate</v>
      </c>
    </row>
    <row r="366" spans="1:10" ht="15" customHeight="1">
      <c r="A366" s="7">
        <v>347</v>
      </c>
      <c r="B366" s="6" t="s">
        <v>974</v>
      </c>
      <c r="C366" s="7" t="s">
        <v>975</v>
      </c>
      <c r="D366" s="7" t="s">
        <v>973</v>
      </c>
      <c r="E366" s="39">
        <f>Calculation!D348</f>
        <v>40308</v>
      </c>
      <c r="F366" s="21">
        <f>Calculation!E348</f>
        <v>0.30709999999999998</v>
      </c>
      <c r="G366" s="22">
        <f>Calculation!F348</f>
        <v>0.18429999999999999</v>
      </c>
      <c r="H366" s="23">
        <f>Calculation!G348</f>
        <v>6.8</v>
      </c>
      <c r="I366" s="24">
        <f>Calculation!J348</f>
        <v>7427</v>
      </c>
      <c r="J366" s="6" t="str">
        <f t="shared" si="5"/>
        <v>Moderate</v>
      </c>
    </row>
    <row r="367" spans="1:10" ht="15" customHeight="1">
      <c r="A367" s="7">
        <v>348</v>
      </c>
      <c r="B367" s="6" t="s">
        <v>976</v>
      </c>
      <c r="C367" s="7" t="s">
        <v>977</v>
      </c>
      <c r="D367" s="7" t="s">
        <v>973</v>
      </c>
      <c r="E367" s="39">
        <f>Calculation!D349</f>
        <v>40308</v>
      </c>
      <c r="F367" s="21">
        <f>Calculation!E349</f>
        <v>0.30709999999999998</v>
      </c>
      <c r="G367" s="22">
        <f>Calculation!F349</f>
        <v>0.18429999999999999</v>
      </c>
      <c r="H367" s="23">
        <f>Calculation!G349</f>
        <v>6.8</v>
      </c>
      <c r="I367" s="24">
        <f>Calculation!J349</f>
        <v>7427</v>
      </c>
      <c r="J367" s="6" t="str">
        <f t="shared" si="5"/>
        <v>Moderate</v>
      </c>
    </row>
    <row r="368" spans="1:10" ht="15" customHeight="1">
      <c r="A368" s="7">
        <v>349</v>
      </c>
      <c r="B368" s="6" t="s">
        <v>978</v>
      </c>
      <c r="C368" s="7" t="s">
        <v>979</v>
      </c>
      <c r="D368" s="7" t="s">
        <v>973</v>
      </c>
      <c r="E368" s="39">
        <f>Calculation!D350</f>
        <v>40308</v>
      </c>
      <c r="F368" s="21">
        <f>Calculation!E350</f>
        <v>0.35260000000000002</v>
      </c>
      <c r="G368" s="22">
        <f>Calculation!F350</f>
        <v>0.21160000000000001</v>
      </c>
      <c r="H368" s="23">
        <f>Calculation!G350</f>
        <v>7.8</v>
      </c>
      <c r="I368" s="24">
        <f>Calculation!J350</f>
        <v>8528</v>
      </c>
      <c r="J368" s="6" t="str">
        <f t="shared" si="5"/>
        <v>Moderate</v>
      </c>
    </row>
    <row r="369" spans="1:10" ht="15" customHeight="1">
      <c r="A369" s="7">
        <v>350</v>
      </c>
      <c r="B369" s="6" t="s">
        <v>980</v>
      </c>
      <c r="C369" s="7" t="s">
        <v>981</v>
      </c>
      <c r="D369" s="7" t="s">
        <v>973</v>
      </c>
      <c r="E369" s="39">
        <f>Calculation!D351</f>
        <v>40308</v>
      </c>
      <c r="F369" s="21">
        <f>Calculation!E351</f>
        <v>0.30709999999999998</v>
      </c>
      <c r="G369" s="22">
        <f>Calculation!F351</f>
        <v>0.18429999999999999</v>
      </c>
      <c r="H369" s="23">
        <f>Calculation!G351</f>
        <v>6.8</v>
      </c>
      <c r="I369" s="24">
        <f>Calculation!J351</f>
        <v>7427</v>
      </c>
      <c r="J369" s="6" t="str">
        <f t="shared" si="5"/>
        <v>Moderate</v>
      </c>
    </row>
    <row r="370" spans="1:10" ht="15" customHeight="1">
      <c r="A370" s="7">
        <v>351</v>
      </c>
      <c r="B370" s="6" t="s">
        <v>982</v>
      </c>
      <c r="C370" s="7" t="s">
        <v>983</v>
      </c>
      <c r="D370" s="7" t="s">
        <v>973</v>
      </c>
      <c r="E370" s="39">
        <f>Calculation!D352</f>
        <v>40308</v>
      </c>
      <c r="F370" s="21">
        <f>Calculation!E352</f>
        <v>0.38</v>
      </c>
      <c r="G370" s="22">
        <f>Calculation!F352</f>
        <v>0.22800000000000001</v>
      </c>
      <c r="H370" s="23">
        <f>Calculation!G352</f>
        <v>8.4</v>
      </c>
      <c r="I370" s="24">
        <f>Calculation!J352</f>
        <v>9190</v>
      </c>
      <c r="J370" s="6" t="str">
        <f t="shared" si="5"/>
        <v>Moderate</v>
      </c>
    </row>
    <row r="371" spans="1:10" ht="15" customHeight="1">
      <c r="A371" s="7">
        <v>352</v>
      </c>
      <c r="B371" s="6" t="s">
        <v>984</v>
      </c>
      <c r="C371" s="7" t="s">
        <v>985</v>
      </c>
      <c r="D371" s="7" t="s">
        <v>973</v>
      </c>
      <c r="E371" s="39">
        <f>Calculation!D353</f>
        <v>40308</v>
      </c>
      <c r="F371" s="21">
        <f>Calculation!E353</f>
        <v>0.3004</v>
      </c>
      <c r="G371" s="22">
        <f>Calculation!F353</f>
        <v>0.1802</v>
      </c>
      <c r="H371" s="23">
        <f>Calculation!G353</f>
        <v>6.7</v>
      </c>
      <c r="I371" s="24">
        <f>Calculation!J353</f>
        <v>7265</v>
      </c>
      <c r="J371" s="6" t="str">
        <f t="shared" si="5"/>
        <v>Moderate</v>
      </c>
    </row>
    <row r="372" spans="1:10" ht="15" customHeight="1">
      <c r="A372" s="7">
        <v>353</v>
      </c>
      <c r="B372" s="6" t="s">
        <v>986</v>
      </c>
      <c r="C372" s="7" t="s">
        <v>987</v>
      </c>
      <c r="D372" s="7" t="s">
        <v>973</v>
      </c>
      <c r="E372" s="39">
        <f>Calculation!D354</f>
        <v>40308</v>
      </c>
      <c r="F372" s="21">
        <f>Calculation!E354</f>
        <v>0.42930000000000001</v>
      </c>
      <c r="G372" s="22">
        <f>Calculation!F354</f>
        <v>0.2576</v>
      </c>
      <c r="H372" s="23">
        <f>Calculation!G354</f>
        <v>9.5</v>
      </c>
      <c r="I372" s="24">
        <f>Calculation!J354</f>
        <v>10383</v>
      </c>
      <c r="J372" s="6" t="str">
        <f t="shared" si="5"/>
        <v>High</v>
      </c>
    </row>
    <row r="373" spans="1:10" ht="15" customHeight="1">
      <c r="A373" s="7">
        <v>354</v>
      </c>
      <c r="B373" s="6" t="s">
        <v>988</v>
      </c>
      <c r="C373" s="7" t="s">
        <v>989</v>
      </c>
      <c r="D373" s="7" t="s">
        <v>973</v>
      </c>
      <c r="E373" s="39">
        <f>Calculation!D355</f>
        <v>40308</v>
      </c>
      <c r="F373" s="21">
        <f>Calculation!E355</f>
        <v>0.313</v>
      </c>
      <c r="G373" s="22">
        <f>Calculation!F355</f>
        <v>0.18779999999999999</v>
      </c>
      <c r="H373" s="23">
        <f>Calculation!G355</f>
        <v>6.9</v>
      </c>
      <c r="I373" s="24">
        <f>Calculation!J355</f>
        <v>7570</v>
      </c>
      <c r="J373" s="6" t="str">
        <f t="shared" si="5"/>
        <v>Moderate</v>
      </c>
    </row>
    <row r="374" spans="1:10" ht="15" customHeight="1">
      <c r="A374" s="7">
        <v>355</v>
      </c>
      <c r="B374" s="6" t="s">
        <v>990</v>
      </c>
      <c r="C374" s="7" t="s">
        <v>991</v>
      </c>
      <c r="D374" s="7" t="s">
        <v>973</v>
      </c>
      <c r="E374" s="39">
        <f>Calculation!D356</f>
        <v>40308</v>
      </c>
      <c r="F374" s="21">
        <f>Calculation!E356</f>
        <v>0.29270000000000002</v>
      </c>
      <c r="G374" s="22">
        <f>Calculation!F356</f>
        <v>0.17560000000000001</v>
      </c>
      <c r="H374" s="23">
        <f>Calculation!G356</f>
        <v>6.5</v>
      </c>
      <c r="I374" s="24">
        <f>Calculation!J356</f>
        <v>7079</v>
      </c>
      <c r="J374" s="6" t="str">
        <f t="shared" si="5"/>
        <v>Moderate</v>
      </c>
    </row>
    <row r="375" spans="1:10" ht="15" customHeight="1">
      <c r="A375" s="7">
        <v>356</v>
      </c>
      <c r="B375" s="6" t="s">
        <v>992</v>
      </c>
      <c r="C375" s="7" t="s">
        <v>993</v>
      </c>
      <c r="D375" s="7" t="s">
        <v>973</v>
      </c>
      <c r="E375" s="39">
        <f>Calculation!D357</f>
        <v>40308</v>
      </c>
      <c r="F375" s="21">
        <f>Calculation!E357</f>
        <v>0.27889999999999998</v>
      </c>
      <c r="G375" s="22">
        <f>Calculation!F357</f>
        <v>0.1673</v>
      </c>
      <c r="H375" s="23">
        <f>Calculation!G357</f>
        <v>6.2</v>
      </c>
      <c r="I375" s="24">
        <f>Calculation!J357</f>
        <v>6745</v>
      </c>
      <c r="J375" s="6" t="str">
        <f t="shared" si="5"/>
        <v>Moderate</v>
      </c>
    </row>
    <row r="376" spans="1:10" ht="15" customHeight="1">
      <c r="A376" s="7">
        <v>357</v>
      </c>
      <c r="B376" s="6" t="s">
        <v>994</v>
      </c>
      <c r="C376" s="7" t="s">
        <v>995</v>
      </c>
      <c r="D376" s="7" t="s">
        <v>973</v>
      </c>
      <c r="E376" s="39">
        <f>Calculation!D358</f>
        <v>40308</v>
      </c>
      <c r="F376" s="21">
        <f>Calculation!E358</f>
        <v>0.313</v>
      </c>
      <c r="G376" s="22">
        <f>Calculation!F358</f>
        <v>0.18779999999999999</v>
      </c>
      <c r="H376" s="23">
        <f>Calculation!G358</f>
        <v>6.9</v>
      </c>
      <c r="I376" s="24">
        <f>Calculation!J358</f>
        <v>7570</v>
      </c>
      <c r="J376" s="6" t="str">
        <f t="shared" si="5"/>
        <v>Moderate</v>
      </c>
    </row>
    <row r="377" spans="1:10" ht="15" customHeight="1">
      <c r="A377" s="7">
        <v>358</v>
      </c>
      <c r="B377" s="6" t="s">
        <v>996</v>
      </c>
      <c r="C377" s="7" t="s">
        <v>997</v>
      </c>
      <c r="D377" s="7" t="s">
        <v>973</v>
      </c>
      <c r="E377" s="39">
        <f>Calculation!D359</f>
        <v>40308</v>
      </c>
      <c r="F377" s="21">
        <f>Calculation!E359</f>
        <v>0.31519999999999998</v>
      </c>
      <c r="G377" s="22">
        <f>Calculation!F359</f>
        <v>0.18909999999999999</v>
      </c>
      <c r="H377" s="23">
        <f>Calculation!G359</f>
        <v>7</v>
      </c>
      <c r="I377" s="24">
        <f>Calculation!J359</f>
        <v>7623</v>
      </c>
      <c r="J377" s="6" t="str">
        <f t="shared" si="5"/>
        <v>Moderate</v>
      </c>
    </row>
    <row r="378" spans="1:10" ht="15" customHeight="1">
      <c r="A378" s="7">
        <v>359</v>
      </c>
      <c r="B378" s="6" t="s">
        <v>998</v>
      </c>
      <c r="C378" s="7" t="s">
        <v>999</v>
      </c>
      <c r="D378" s="7" t="s">
        <v>973</v>
      </c>
      <c r="E378" s="39">
        <f>Calculation!D360</f>
        <v>40308</v>
      </c>
      <c r="F378" s="21">
        <f>Calculation!E360</f>
        <v>0.38</v>
      </c>
      <c r="G378" s="22">
        <f>Calculation!F360</f>
        <v>0.22800000000000001</v>
      </c>
      <c r="H378" s="23">
        <f>Calculation!G360</f>
        <v>8.4</v>
      </c>
      <c r="I378" s="24">
        <f>Calculation!J360</f>
        <v>9190</v>
      </c>
      <c r="J378" s="6" t="str">
        <f t="shared" si="5"/>
        <v>Moderate</v>
      </c>
    </row>
    <row r="379" spans="1:10" ht="15" customHeight="1">
      <c r="A379" s="7">
        <v>360</v>
      </c>
      <c r="B379" s="6" t="s">
        <v>1000</v>
      </c>
      <c r="C379" s="7" t="s">
        <v>1001</v>
      </c>
      <c r="D379" s="7" t="s">
        <v>973</v>
      </c>
      <c r="E379" s="39">
        <f>Calculation!D361</f>
        <v>40308</v>
      </c>
      <c r="F379" s="21">
        <f>Calculation!E361</f>
        <v>0.30709999999999998</v>
      </c>
      <c r="G379" s="22">
        <f>Calculation!F361</f>
        <v>0.18429999999999999</v>
      </c>
      <c r="H379" s="23">
        <f>Calculation!G361</f>
        <v>6.8</v>
      </c>
      <c r="I379" s="24">
        <f>Calculation!J361</f>
        <v>7427</v>
      </c>
      <c r="J379" s="6" t="str">
        <f t="shared" si="5"/>
        <v>Moderate</v>
      </c>
    </row>
    <row r="380" spans="1:10" ht="15" customHeight="1">
      <c r="A380" s="7">
        <v>361</v>
      </c>
      <c r="B380" s="6" t="s">
        <v>1002</v>
      </c>
      <c r="C380" s="7" t="s">
        <v>1003</v>
      </c>
      <c r="D380" s="7" t="s">
        <v>973</v>
      </c>
      <c r="E380" s="39">
        <f>Calculation!D362</f>
        <v>40308</v>
      </c>
      <c r="F380" s="21">
        <f>Calculation!E362</f>
        <v>0.33910000000000001</v>
      </c>
      <c r="G380" s="22">
        <f>Calculation!F362</f>
        <v>0.20349999999999999</v>
      </c>
      <c r="H380" s="23">
        <f>Calculation!G362</f>
        <v>7.5</v>
      </c>
      <c r="I380" s="24">
        <f>Calculation!J362</f>
        <v>8201</v>
      </c>
      <c r="J380" s="6" t="str">
        <f t="shared" si="5"/>
        <v>Moderate</v>
      </c>
    </row>
    <row r="381" spans="1:10" ht="15" customHeight="1">
      <c r="A381" s="7">
        <v>362</v>
      </c>
      <c r="B381" s="6" t="s">
        <v>1004</v>
      </c>
      <c r="C381" s="7" t="s">
        <v>1005</v>
      </c>
      <c r="D381" s="7" t="s">
        <v>973</v>
      </c>
      <c r="E381" s="39">
        <f>Calculation!D363</f>
        <v>40308</v>
      </c>
      <c r="F381" s="21">
        <f>Calculation!E363</f>
        <v>0.31780000000000003</v>
      </c>
      <c r="G381" s="22">
        <f>Calculation!F363</f>
        <v>0.19070000000000001</v>
      </c>
      <c r="H381" s="23">
        <f>Calculation!G363</f>
        <v>7.1</v>
      </c>
      <c r="I381" s="24">
        <f>Calculation!J363</f>
        <v>7686</v>
      </c>
      <c r="J381" s="6" t="str">
        <f t="shared" si="5"/>
        <v>Moderate</v>
      </c>
    </row>
    <row r="382" spans="1:10" ht="15" customHeight="1">
      <c r="A382" s="7">
        <v>363</v>
      </c>
      <c r="B382" s="6" t="s">
        <v>1006</v>
      </c>
      <c r="C382" s="7" t="s">
        <v>1007</v>
      </c>
      <c r="D382" s="7" t="s">
        <v>973</v>
      </c>
      <c r="E382" s="39">
        <f>Calculation!D364</f>
        <v>40308</v>
      </c>
      <c r="F382" s="21">
        <f>Calculation!E364</f>
        <v>0.48470000000000002</v>
      </c>
      <c r="G382" s="22">
        <f>Calculation!F364</f>
        <v>0.2908</v>
      </c>
      <c r="H382" s="23">
        <f>Calculation!G364</f>
        <v>10.8</v>
      </c>
      <c r="I382" s="24">
        <f>Calculation!J364</f>
        <v>11722</v>
      </c>
      <c r="J382" s="6" t="str">
        <f t="shared" si="5"/>
        <v>High</v>
      </c>
    </row>
    <row r="383" spans="1:10" ht="15" customHeight="1">
      <c r="A383" s="7">
        <v>364</v>
      </c>
      <c r="B383" s="6" t="s">
        <v>1008</v>
      </c>
      <c r="C383" s="7" t="s">
        <v>1009</v>
      </c>
      <c r="D383" s="7" t="s">
        <v>973</v>
      </c>
      <c r="E383" s="39">
        <f>Calculation!D365</f>
        <v>40308</v>
      </c>
      <c r="F383" s="21">
        <f>Calculation!E365</f>
        <v>0.39179999999999998</v>
      </c>
      <c r="G383" s="22">
        <f>Calculation!F365</f>
        <v>0.2351</v>
      </c>
      <c r="H383" s="23">
        <f>Calculation!G365</f>
        <v>8.6999999999999993</v>
      </c>
      <c r="I383" s="24">
        <f>Calculation!J365</f>
        <v>9476</v>
      </c>
      <c r="J383" s="6" t="str">
        <f t="shared" si="5"/>
        <v>Moderate</v>
      </c>
    </row>
    <row r="384" spans="1:10" ht="15" customHeight="1">
      <c r="A384" s="7">
        <v>365</v>
      </c>
      <c r="B384" s="6" t="s">
        <v>1010</v>
      </c>
      <c r="C384" s="7" t="s">
        <v>1011</v>
      </c>
      <c r="D384" s="7" t="s">
        <v>973</v>
      </c>
      <c r="E384" s="39">
        <f>Calculation!D366</f>
        <v>40308</v>
      </c>
      <c r="F384" s="21">
        <f>Calculation!E366</f>
        <v>0.31440000000000001</v>
      </c>
      <c r="G384" s="22">
        <f>Calculation!F366</f>
        <v>0.18859999999999999</v>
      </c>
      <c r="H384" s="23">
        <f>Calculation!G366</f>
        <v>7</v>
      </c>
      <c r="I384" s="24">
        <f>Calculation!J366</f>
        <v>7604</v>
      </c>
      <c r="J384" s="6" t="str">
        <f t="shared" si="5"/>
        <v>Moderate</v>
      </c>
    </row>
    <row r="385" spans="1:10" ht="15" customHeight="1">
      <c r="A385" s="7">
        <v>366</v>
      </c>
      <c r="B385" s="6" t="s">
        <v>1012</v>
      </c>
      <c r="C385" s="7" t="s">
        <v>1013</v>
      </c>
      <c r="D385" s="7" t="s">
        <v>973</v>
      </c>
      <c r="E385" s="39">
        <f>Calculation!D367</f>
        <v>40308</v>
      </c>
      <c r="F385" s="21">
        <f>Calculation!E367</f>
        <v>0.316</v>
      </c>
      <c r="G385" s="22">
        <f>Calculation!F367</f>
        <v>0.18959999999999999</v>
      </c>
      <c r="H385" s="23">
        <f>Calculation!G367</f>
        <v>7</v>
      </c>
      <c r="I385" s="24">
        <f>Calculation!J367</f>
        <v>7642</v>
      </c>
      <c r="J385" s="6" t="str">
        <f t="shared" si="5"/>
        <v>Moderate</v>
      </c>
    </row>
    <row r="386" spans="1:10" ht="15" customHeight="1">
      <c r="A386" s="7">
        <v>367</v>
      </c>
      <c r="B386" s="6" t="s">
        <v>1014</v>
      </c>
      <c r="C386" s="7" t="s">
        <v>1015</v>
      </c>
      <c r="D386" s="7" t="s">
        <v>973</v>
      </c>
      <c r="E386" s="39">
        <f>Calculation!D368</f>
        <v>40308</v>
      </c>
      <c r="F386" s="21">
        <f>Calculation!E368</f>
        <v>0.27289999999999998</v>
      </c>
      <c r="G386" s="22">
        <f>Calculation!F368</f>
        <v>0.16370000000000001</v>
      </c>
      <c r="H386" s="23">
        <f>Calculation!G368</f>
        <v>6.1</v>
      </c>
      <c r="I386" s="24">
        <f>Calculation!J368</f>
        <v>6600</v>
      </c>
      <c r="J386" s="6" t="str">
        <f t="shared" si="5"/>
        <v>Moderate</v>
      </c>
    </row>
    <row r="387" spans="1:10" ht="15" customHeight="1">
      <c r="A387" s="7">
        <v>368</v>
      </c>
      <c r="B387" s="6" t="s">
        <v>1016</v>
      </c>
      <c r="C387" s="7" t="s">
        <v>1017</v>
      </c>
      <c r="D387" s="7" t="s">
        <v>973</v>
      </c>
      <c r="E387" s="39">
        <f>Calculation!D369</f>
        <v>40308</v>
      </c>
      <c r="F387" s="21">
        <f>Calculation!E369</f>
        <v>0.2455</v>
      </c>
      <c r="G387" s="22">
        <f>Calculation!F369</f>
        <v>0.14729999999999999</v>
      </c>
      <c r="H387" s="23">
        <f>Calculation!G369</f>
        <v>5.5</v>
      </c>
      <c r="I387" s="24">
        <f>Calculation!J369</f>
        <v>5937</v>
      </c>
      <c r="J387" s="6" t="str">
        <f t="shared" si="5"/>
        <v>Low</v>
      </c>
    </row>
    <row r="388" spans="1:10" ht="15" customHeight="1">
      <c r="A388" s="7">
        <v>369</v>
      </c>
      <c r="B388" s="6" t="s">
        <v>1018</v>
      </c>
      <c r="C388" s="7" t="s">
        <v>1019</v>
      </c>
      <c r="D388" s="7" t="s">
        <v>973</v>
      </c>
      <c r="E388" s="39">
        <f>Calculation!D370</f>
        <v>40308</v>
      </c>
      <c r="F388" s="21">
        <f>Calculation!E370</f>
        <v>0.27910000000000001</v>
      </c>
      <c r="G388" s="22">
        <f>Calculation!F370</f>
        <v>0.16750000000000001</v>
      </c>
      <c r="H388" s="23">
        <f>Calculation!G370</f>
        <v>6.2</v>
      </c>
      <c r="I388" s="24">
        <f>Calculation!J370</f>
        <v>6750</v>
      </c>
      <c r="J388" s="6" t="str">
        <f t="shared" si="5"/>
        <v>Moderate</v>
      </c>
    </row>
    <row r="389" spans="1:10" ht="15" customHeight="1">
      <c r="A389" s="7">
        <v>370</v>
      </c>
      <c r="B389" s="6" t="s">
        <v>1020</v>
      </c>
      <c r="C389" s="7" t="s">
        <v>1021</v>
      </c>
      <c r="D389" s="7" t="s">
        <v>973</v>
      </c>
      <c r="E389" s="39">
        <f>Calculation!D371</f>
        <v>40308</v>
      </c>
      <c r="F389" s="21">
        <f>Calculation!E371</f>
        <v>0.25659999999999999</v>
      </c>
      <c r="G389" s="22">
        <f>Calculation!F371</f>
        <v>0.154</v>
      </c>
      <c r="H389" s="23">
        <f>Calculation!G371</f>
        <v>5.7</v>
      </c>
      <c r="I389" s="24">
        <f>Calculation!J371</f>
        <v>6206</v>
      </c>
      <c r="J389" s="6" t="str">
        <f t="shared" si="5"/>
        <v>Moderate</v>
      </c>
    </row>
    <row r="390" spans="1:10" ht="15" customHeight="1">
      <c r="A390" s="7">
        <v>371</v>
      </c>
      <c r="B390" s="6" t="s">
        <v>1022</v>
      </c>
      <c r="C390" s="7" t="s">
        <v>1023</v>
      </c>
      <c r="D390" s="7" t="s">
        <v>973</v>
      </c>
      <c r="E390" s="39">
        <f>Calculation!D372</f>
        <v>40308</v>
      </c>
      <c r="F390" s="21">
        <f>Calculation!E372</f>
        <v>0.51370000000000005</v>
      </c>
      <c r="G390" s="22">
        <f>Calculation!F372</f>
        <v>0.30819999999999997</v>
      </c>
      <c r="H390" s="23">
        <f>Calculation!G372</f>
        <v>11.4</v>
      </c>
      <c r="I390" s="24">
        <f>Calculation!J372</f>
        <v>12424</v>
      </c>
      <c r="J390" s="6" t="str">
        <f t="shared" si="5"/>
        <v>High</v>
      </c>
    </row>
    <row r="391" spans="1:10" ht="15" customHeight="1">
      <c r="A391" s="7">
        <v>372</v>
      </c>
      <c r="B391" s="6" t="s">
        <v>1024</v>
      </c>
      <c r="C391" s="7" t="s">
        <v>1025</v>
      </c>
      <c r="D391" s="7" t="s">
        <v>1026</v>
      </c>
      <c r="E391" s="39">
        <f>Calculation!D373</f>
        <v>143625</v>
      </c>
      <c r="F391" s="21">
        <f>Calculation!E373</f>
        <v>0.21970000000000001</v>
      </c>
      <c r="G391" s="22">
        <f>Calculation!F373</f>
        <v>0.1318</v>
      </c>
      <c r="H391" s="23">
        <f>Calculation!G373</f>
        <v>4.9000000000000004</v>
      </c>
      <c r="I391" s="24">
        <f>Calculation!J373</f>
        <v>18933</v>
      </c>
      <c r="J391" s="6" t="str">
        <f t="shared" si="5"/>
        <v>Low</v>
      </c>
    </row>
    <row r="392" spans="1:10" ht="15" customHeight="1">
      <c r="A392" s="7">
        <v>373</v>
      </c>
      <c r="B392" s="6" t="s">
        <v>1027</v>
      </c>
      <c r="C392" s="7" t="s">
        <v>1028</v>
      </c>
      <c r="D392" s="7" t="s">
        <v>1026</v>
      </c>
      <c r="E392" s="39">
        <f>Calculation!D374</f>
        <v>143625</v>
      </c>
      <c r="F392" s="21">
        <f>Calculation!E374</f>
        <v>0.23469999999999999</v>
      </c>
      <c r="G392" s="22">
        <f>Calculation!F374</f>
        <v>0.14080000000000001</v>
      </c>
      <c r="H392" s="23">
        <f>Calculation!G374</f>
        <v>5.2</v>
      </c>
      <c r="I392" s="24">
        <f>Calculation!J374</f>
        <v>20225</v>
      </c>
      <c r="J392" s="6" t="str">
        <f t="shared" si="5"/>
        <v>Low</v>
      </c>
    </row>
    <row r="393" spans="1:10" ht="15" customHeight="1">
      <c r="A393" s="7">
        <v>374</v>
      </c>
      <c r="B393" s="6" t="s">
        <v>1029</v>
      </c>
      <c r="C393" s="7" t="s">
        <v>1030</v>
      </c>
      <c r="D393" s="7" t="s">
        <v>1026</v>
      </c>
      <c r="E393" s="39">
        <f>Calculation!D375</f>
        <v>143625</v>
      </c>
      <c r="F393" s="21">
        <f>Calculation!E375</f>
        <v>0.29749999999999999</v>
      </c>
      <c r="G393" s="22">
        <f>Calculation!F375</f>
        <v>0.17849999999999999</v>
      </c>
      <c r="H393" s="23">
        <f>Calculation!G375</f>
        <v>6.6</v>
      </c>
      <c r="I393" s="24">
        <f>Calculation!J375</f>
        <v>25637</v>
      </c>
      <c r="J393" s="6" t="str">
        <f t="shared" si="5"/>
        <v>Moderate</v>
      </c>
    </row>
    <row r="394" spans="1:10" ht="15" customHeight="1">
      <c r="A394" s="7">
        <v>375</v>
      </c>
      <c r="B394" s="6" t="s">
        <v>1031</v>
      </c>
      <c r="C394" s="7" t="s">
        <v>1032</v>
      </c>
      <c r="D394" s="7" t="s">
        <v>1026</v>
      </c>
      <c r="E394" s="39">
        <f>Calculation!D376</f>
        <v>143625</v>
      </c>
      <c r="F394" s="21">
        <f>Calculation!E376</f>
        <v>0.246</v>
      </c>
      <c r="G394" s="22">
        <f>Calculation!F376</f>
        <v>0.14760000000000001</v>
      </c>
      <c r="H394" s="23">
        <f>Calculation!G376</f>
        <v>5.5</v>
      </c>
      <c r="I394" s="24">
        <f>Calculation!J376</f>
        <v>21199</v>
      </c>
      <c r="J394" s="6" t="str">
        <f t="shared" si="5"/>
        <v>Low</v>
      </c>
    </row>
    <row r="395" spans="1:10" ht="15" customHeight="1">
      <c r="A395" s="7">
        <v>376</v>
      </c>
      <c r="B395" s="6" t="s">
        <v>1033</v>
      </c>
      <c r="C395" s="7" t="s">
        <v>1034</v>
      </c>
      <c r="D395" s="7" t="s">
        <v>1026</v>
      </c>
      <c r="E395" s="39">
        <f>Calculation!D377</f>
        <v>143625</v>
      </c>
      <c r="F395" s="21">
        <f>Calculation!E377</f>
        <v>0.21970000000000001</v>
      </c>
      <c r="G395" s="22">
        <f>Calculation!F377</f>
        <v>0.1318</v>
      </c>
      <c r="H395" s="23">
        <f>Calculation!G377</f>
        <v>4.9000000000000004</v>
      </c>
      <c r="I395" s="24">
        <f>Calculation!J377</f>
        <v>18933</v>
      </c>
      <c r="J395" s="6" t="str">
        <f t="shared" si="5"/>
        <v>Low</v>
      </c>
    </row>
    <row r="396" spans="1:10" ht="15" customHeight="1">
      <c r="A396" s="7">
        <v>377</v>
      </c>
      <c r="B396" s="6" t="s">
        <v>1035</v>
      </c>
      <c r="C396" s="7" t="s">
        <v>1036</v>
      </c>
      <c r="D396" s="7" t="s">
        <v>1026</v>
      </c>
      <c r="E396" s="39">
        <f>Calculation!D378</f>
        <v>143625</v>
      </c>
      <c r="F396" s="21">
        <f>Calculation!E378</f>
        <v>0.27289999999999998</v>
      </c>
      <c r="G396" s="22">
        <f>Calculation!F378</f>
        <v>0.16370000000000001</v>
      </c>
      <c r="H396" s="23">
        <f>Calculation!G378</f>
        <v>6.1</v>
      </c>
      <c r="I396" s="24">
        <f>Calculation!J378</f>
        <v>23517</v>
      </c>
      <c r="J396" s="6" t="str">
        <f t="shared" si="5"/>
        <v>Moderate</v>
      </c>
    </row>
    <row r="397" spans="1:10" ht="15" customHeight="1">
      <c r="A397" s="7">
        <v>378</v>
      </c>
      <c r="B397" s="6" t="s">
        <v>1037</v>
      </c>
      <c r="C397" s="7" t="s">
        <v>1038</v>
      </c>
      <c r="D397" s="7" t="s">
        <v>1026</v>
      </c>
      <c r="E397" s="39">
        <f>Calculation!D379</f>
        <v>143625</v>
      </c>
      <c r="F397" s="21">
        <f>Calculation!E379</f>
        <v>0.2374</v>
      </c>
      <c r="G397" s="22">
        <f>Calculation!F379</f>
        <v>0.1424</v>
      </c>
      <c r="H397" s="23">
        <f>Calculation!G379</f>
        <v>5.3</v>
      </c>
      <c r="I397" s="24">
        <f>Calculation!J379</f>
        <v>20458</v>
      </c>
      <c r="J397" s="6" t="str">
        <f t="shared" si="5"/>
        <v>Low</v>
      </c>
    </row>
    <row r="398" spans="1:10" ht="15" customHeight="1">
      <c r="A398" s="7">
        <v>379</v>
      </c>
      <c r="B398" s="6" t="s">
        <v>1039</v>
      </c>
      <c r="C398" s="7" t="s">
        <v>1040</v>
      </c>
      <c r="D398" s="7" t="s">
        <v>1026</v>
      </c>
      <c r="E398" s="39">
        <f>Calculation!D380</f>
        <v>143625</v>
      </c>
      <c r="F398" s="21">
        <f>Calculation!E380</f>
        <v>0.2427</v>
      </c>
      <c r="G398" s="22">
        <f>Calculation!F380</f>
        <v>0.14560000000000001</v>
      </c>
      <c r="H398" s="23">
        <f>Calculation!G380</f>
        <v>5.4</v>
      </c>
      <c r="I398" s="24">
        <f>Calculation!J380</f>
        <v>20915</v>
      </c>
      <c r="J398" s="6" t="str">
        <f t="shared" si="5"/>
        <v>Low</v>
      </c>
    </row>
    <row r="399" spans="1:10" ht="15" customHeight="1">
      <c r="A399" s="7">
        <v>380</v>
      </c>
      <c r="B399" s="6" t="s">
        <v>1041</v>
      </c>
      <c r="C399" s="7" t="s">
        <v>1042</v>
      </c>
      <c r="D399" s="7" t="s">
        <v>1043</v>
      </c>
      <c r="E399" s="39">
        <f>Calculation!D381</f>
        <v>59750</v>
      </c>
      <c r="F399" s="21">
        <f>Calculation!E381</f>
        <v>0.22239999999999999</v>
      </c>
      <c r="G399" s="22">
        <f>Calculation!F381</f>
        <v>0.13339999999999999</v>
      </c>
      <c r="H399" s="23">
        <f>Calculation!G381</f>
        <v>4.9000000000000004</v>
      </c>
      <c r="I399" s="24">
        <f>Calculation!J381</f>
        <v>7973</v>
      </c>
      <c r="J399" s="6" t="str">
        <f t="shared" si="5"/>
        <v>Low</v>
      </c>
    </row>
    <row r="400" spans="1:10" ht="15" customHeight="1">
      <c r="A400" s="7">
        <v>381</v>
      </c>
      <c r="B400" s="6" t="s">
        <v>1044</v>
      </c>
      <c r="C400" s="7" t="s">
        <v>1045</v>
      </c>
      <c r="D400" s="7" t="s">
        <v>1043</v>
      </c>
      <c r="E400" s="39">
        <f>Calculation!D382</f>
        <v>59750</v>
      </c>
      <c r="F400" s="21">
        <f>Calculation!E382</f>
        <v>0.22239999999999999</v>
      </c>
      <c r="G400" s="22">
        <f>Calculation!F382</f>
        <v>0.13339999999999999</v>
      </c>
      <c r="H400" s="23">
        <f>Calculation!G382</f>
        <v>4.9000000000000004</v>
      </c>
      <c r="I400" s="24">
        <f>Calculation!J382</f>
        <v>7973</v>
      </c>
      <c r="J400" s="6" t="str">
        <f t="shared" si="5"/>
        <v>Low</v>
      </c>
    </row>
    <row r="401" spans="1:10" ht="15" customHeight="1">
      <c r="A401" s="7">
        <v>382</v>
      </c>
      <c r="B401" s="6" t="s">
        <v>1046</v>
      </c>
      <c r="C401" s="7" t="s">
        <v>1047</v>
      </c>
      <c r="D401" s="7" t="s">
        <v>1043</v>
      </c>
      <c r="E401" s="39">
        <f>Calculation!D383</f>
        <v>59750</v>
      </c>
      <c r="F401" s="21">
        <f>Calculation!E383</f>
        <v>0.22120000000000001</v>
      </c>
      <c r="G401" s="22">
        <f>Calculation!F383</f>
        <v>0.13270000000000001</v>
      </c>
      <c r="H401" s="23">
        <f>Calculation!G383</f>
        <v>4.9000000000000004</v>
      </c>
      <c r="I401" s="24">
        <f>Calculation!J383</f>
        <v>7930</v>
      </c>
      <c r="J401" s="6" t="str">
        <f t="shared" si="5"/>
        <v>Low</v>
      </c>
    </row>
    <row r="402" spans="1:10" ht="15" customHeight="1">
      <c r="A402" s="7">
        <v>383</v>
      </c>
      <c r="B402" s="6" t="s">
        <v>1048</v>
      </c>
      <c r="C402" s="7" t="s">
        <v>1049</v>
      </c>
      <c r="D402" s="7" t="s">
        <v>1043</v>
      </c>
      <c r="E402" s="39">
        <f>Calculation!D384</f>
        <v>59750</v>
      </c>
      <c r="F402" s="21">
        <f>Calculation!E384</f>
        <v>0.22520000000000001</v>
      </c>
      <c r="G402" s="22">
        <f>Calculation!F384</f>
        <v>0.1351</v>
      </c>
      <c r="H402" s="23">
        <f>Calculation!G384</f>
        <v>5</v>
      </c>
      <c r="I402" s="24">
        <f>Calculation!J384</f>
        <v>8073</v>
      </c>
      <c r="J402" s="6" t="str">
        <f t="shared" si="5"/>
        <v>Low</v>
      </c>
    </row>
    <row r="403" spans="1:10" ht="15" customHeight="1">
      <c r="A403" s="7">
        <v>384</v>
      </c>
      <c r="B403" s="6" t="s">
        <v>1050</v>
      </c>
      <c r="C403" s="7" t="s">
        <v>1051</v>
      </c>
      <c r="D403" s="7" t="s">
        <v>1043</v>
      </c>
      <c r="E403" s="39">
        <f>Calculation!D385</f>
        <v>59750</v>
      </c>
      <c r="F403" s="21">
        <f>Calculation!E385</f>
        <v>0.224</v>
      </c>
      <c r="G403" s="22">
        <f>Calculation!F385</f>
        <v>0.13439999999999999</v>
      </c>
      <c r="H403" s="23">
        <f>Calculation!G385</f>
        <v>5</v>
      </c>
      <c r="I403" s="24">
        <f>Calculation!J385</f>
        <v>8030</v>
      </c>
      <c r="J403" s="6" t="str">
        <f t="shared" si="5"/>
        <v>Low</v>
      </c>
    </row>
    <row r="404" spans="1:10" ht="15" customHeight="1">
      <c r="A404" s="7">
        <v>385</v>
      </c>
      <c r="B404" s="6" t="s">
        <v>1052</v>
      </c>
      <c r="C404" s="7" t="s">
        <v>1053</v>
      </c>
      <c r="D404" s="7" t="s">
        <v>1043</v>
      </c>
      <c r="E404" s="39">
        <f>Calculation!D386</f>
        <v>59750</v>
      </c>
      <c r="F404" s="21">
        <f>Calculation!E386</f>
        <v>0.22520000000000001</v>
      </c>
      <c r="G404" s="22">
        <f>Calculation!F386</f>
        <v>0.1351</v>
      </c>
      <c r="H404" s="23">
        <f>Calculation!G386</f>
        <v>5</v>
      </c>
      <c r="I404" s="24">
        <f>Calculation!J386</f>
        <v>8073</v>
      </c>
      <c r="J404" s="6" t="str">
        <f t="shared" ref="J404:J431" si="6">IF(G404&gt;=35%,"Transformative",IF(G404&gt;=25%,"High",IF(G404&gt;=15%,"Moderate","Low")))</f>
        <v>Low</v>
      </c>
    </row>
    <row r="405" spans="1:10" ht="15" customHeight="1">
      <c r="A405" s="7">
        <v>386</v>
      </c>
      <c r="B405" s="6" t="s">
        <v>1054</v>
      </c>
      <c r="C405" s="7" t="s">
        <v>1055</v>
      </c>
      <c r="D405" s="7" t="s">
        <v>1043</v>
      </c>
      <c r="E405" s="39">
        <f>Calculation!D387</f>
        <v>59750</v>
      </c>
      <c r="F405" s="21">
        <f>Calculation!E387</f>
        <v>0.26140000000000002</v>
      </c>
      <c r="G405" s="22">
        <f>Calculation!F387</f>
        <v>0.15679999999999999</v>
      </c>
      <c r="H405" s="23">
        <f>Calculation!G387</f>
        <v>5.8</v>
      </c>
      <c r="I405" s="24">
        <f>Calculation!J387</f>
        <v>9371</v>
      </c>
      <c r="J405" s="6" t="str">
        <f t="shared" si="6"/>
        <v>Moderate</v>
      </c>
    </row>
    <row r="406" spans="1:10" ht="15" customHeight="1">
      <c r="A406" s="7">
        <v>387</v>
      </c>
      <c r="B406" s="6" t="s">
        <v>1056</v>
      </c>
      <c r="C406" s="7" t="s">
        <v>1057</v>
      </c>
      <c r="D406" s="7" t="s">
        <v>1043</v>
      </c>
      <c r="E406" s="39">
        <f>Calculation!D388</f>
        <v>59750</v>
      </c>
      <c r="F406" s="21">
        <f>Calculation!E388</f>
        <v>0.22639999999999999</v>
      </c>
      <c r="G406" s="22">
        <f>Calculation!F388</f>
        <v>0.1358</v>
      </c>
      <c r="H406" s="23">
        <f>Calculation!G388</f>
        <v>5</v>
      </c>
      <c r="I406" s="24">
        <f>Calculation!J388</f>
        <v>8116</v>
      </c>
      <c r="J406" s="6" t="str">
        <f t="shared" si="6"/>
        <v>Low</v>
      </c>
    </row>
    <row r="407" spans="1:10" ht="15" customHeight="1">
      <c r="A407" s="7">
        <v>388</v>
      </c>
      <c r="B407" s="6" t="s">
        <v>1058</v>
      </c>
      <c r="C407" s="7" t="s">
        <v>1059</v>
      </c>
      <c r="D407" s="7" t="s">
        <v>1060</v>
      </c>
      <c r="E407" s="39">
        <f>Calculation!D389</f>
        <v>94680</v>
      </c>
      <c r="F407" s="21">
        <f>Calculation!E389</f>
        <v>0.33700000000000002</v>
      </c>
      <c r="G407" s="22">
        <f>Calculation!F389</f>
        <v>0.18540000000000001</v>
      </c>
      <c r="H407" s="23">
        <f>Calculation!G389</f>
        <v>6.9</v>
      </c>
      <c r="I407" s="24">
        <f>Calculation!J389</f>
        <v>17549</v>
      </c>
      <c r="J407" s="6" t="str">
        <f t="shared" si="6"/>
        <v>Moderate</v>
      </c>
    </row>
    <row r="408" spans="1:10" ht="15" customHeight="1">
      <c r="A408" s="7">
        <v>389</v>
      </c>
      <c r="B408" s="6" t="s">
        <v>1061</v>
      </c>
      <c r="C408" s="7" t="s">
        <v>1062</v>
      </c>
      <c r="D408" s="7" t="s">
        <v>1060</v>
      </c>
      <c r="E408" s="39">
        <f>Calculation!D390</f>
        <v>94680</v>
      </c>
      <c r="F408" s="21">
        <f>Calculation!E390</f>
        <v>0.45739999999999997</v>
      </c>
      <c r="G408" s="22">
        <f>Calculation!F390</f>
        <v>0.25159999999999999</v>
      </c>
      <c r="H408" s="23">
        <f>Calculation!G390</f>
        <v>9.3000000000000007</v>
      </c>
      <c r="I408" s="24">
        <f>Calculation!J390</f>
        <v>23819</v>
      </c>
      <c r="J408" s="6" t="str">
        <f t="shared" si="6"/>
        <v>High</v>
      </c>
    </row>
    <row r="409" spans="1:10" ht="15" customHeight="1">
      <c r="A409" s="7">
        <v>390</v>
      </c>
      <c r="B409" s="6" t="s">
        <v>1063</v>
      </c>
      <c r="C409" s="7" t="s">
        <v>1064</v>
      </c>
      <c r="D409" s="7" t="s">
        <v>1060</v>
      </c>
      <c r="E409" s="39">
        <f>Calculation!D391</f>
        <v>94680</v>
      </c>
      <c r="F409" s="21">
        <f>Calculation!E391</f>
        <v>0.26640000000000003</v>
      </c>
      <c r="G409" s="22">
        <f>Calculation!F391</f>
        <v>0.14649999999999999</v>
      </c>
      <c r="H409" s="23">
        <f>Calculation!G391</f>
        <v>5.4</v>
      </c>
      <c r="I409" s="24">
        <f>Calculation!J391</f>
        <v>13873</v>
      </c>
      <c r="J409" s="6" t="str">
        <f t="shared" si="6"/>
        <v>Low</v>
      </c>
    </row>
    <row r="410" spans="1:10" ht="15" customHeight="1">
      <c r="A410" s="7">
        <v>391</v>
      </c>
      <c r="B410" s="6" t="s">
        <v>1065</v>
      </c>
      <c r="C410" s="7" t="s">
        <v>1066</v>
      </c>
      <c r="D410" s="7" t="s">
        <v>1060</v>
      </c>
      <c r="E410" s="39">
        <f>Calculation!D392</f>
        <v>94680</v>
      </c>
      <c r="F410" s="21">
        <f>Calculation!E392</f>
        <v>0.3</v>
      </c>
      <c r="G410" s="22">
        <f>Calculation!F392</f>
        <v>0.16500000000000001</v>
      </c>
      <c r="H410" s="23">
        <f>Calculation!G392</f>
        <v>6.1</v>
      </c>
      <c r="I410" s="24">
        <f>Calculation!J392</f>
        <v>15622</v>
      </c>
      <c r="J410" s="6" t="str">
        <f t="shared" si="6"/>
        <v>Moderate</v>
      </c>
    </row>
    <row r="411" spans="1:10" ht="15" customHeight="1">
      <c r="A411" s="7">
        <v>392</v>
      </c>
      <c r="B411" s="6" t="s">
        <v>1067</v>
      </c>
      <c r="C411" s="7" t="s">
        <v>1068</v>
      </c>
      <c r="D411" s="7" t="s">
        <v>1060</v>
      </c>
      <c r="E411" s="39">
        <f>Calculation!D393</f>
        <v>94680</v>
      </c>
      <c r="F411" s="21">
        <f>Calculation!E393</f>
        <v>0.25069999999999998</v>
      </c>
      <c r="G411" s="22">
        <f>Calculation!F393</f>
        <v>0.13789999999999999</v>
      </c>
      <c r="H411" s="23">
        <f>Calculation!G393</f>
        <v>5.0999999999999996</v>
      </c>
      <c r="I411" s="24">
        <f>Calculation!J393</f>
        <v>13055</v>
      </c>
      <c r="J411" s="6" t="str">
        <f t="shared" si="6"/>
        <v>Low</v>
      </c>
    </row>
    <row r="412" spans="1:10" ht="15" customHeight="1">
      <c r="A412" s="7">
        <v>393</v>
      </c>
      <c r="B412" s="6" t="s">
        <v>1069</v>
      </c>
      <c r="C412" s="7" t="s">
        <v>1070</v>
      </c>
      <c r="D412" s="7" t="s">
        <v>1060</v>
      </c>
      <c r="E412" s="39">
        <f>Calculation!D394</f>
        <v>94680</v>
      </c>
      <c r="F412" s="21">
        <f>Calculation!E394</f>
        <v>0.36930000000000002</v>
      </c>
      <c r="G412" s="22">
        <f>Calculation!F394</f>
        <v>0.2031</v>
      </c>
      <c r="H412" s="23">
        <f>Calculation!G394</f>
        <v>7.5</v>
      </c>
      <c r="I412" s="24">
        <f>Calculation!J394</f>
        <v>19231</v>
      </c>
      <c r="J412" s="6" t="str">
        <f t="shared" si="6"/>
        <v>Moderate</v>
      </c>
    </row>
    <row r="413" spans="1:10" ht="15" customHeight="1">
      <c r="A413" s="7">
        <v>394</v>
      </c>
      <c r="B413" s="6" t="s">
        <v>1071</v>
      </c>
      <c r="C413" s="7" t="s">
        <v>1072</v>
      </c>
      <c r="D413" s="7" t="s">
        <v>1060</v>
      </c>
      <c r="E413" s="39">
        <f>Calculation!D395</f>
        <v>94680</v>
      </c>
      <c r="F413" s="21">
        <f>Calculation!E395</f>
        <v>0.3624</v>
      </c>
      <c r="G413" s="22">
        <f>Calculation!F395</f>
        <v>0.1993</v>
      </c>
      <c r="H413" s="23">
        <f>Calculation!G395</f>
        <v>7.4</v>
      </c>
      <c r="I413" s="24">
        <f>Calculation!J395</f>
        <v>18872</v>
      </c>
      <c r="J413" s="6" t="str">
        <f t="shared" si="6"/>
        <v>Moderate</v>
      </c>
    </row>
    <row r="414" spans="1:10" ht="15" customHeight="1">
      <c r="A414" s="7">
        <v>395</v>
      </c>
      <c r="B414" s="6" t="s">
        <v>1073</v>
      </c>
      <c r="C414" s="7" t="s">
        <v>1074</v>
      </c>
      <c r="D414" s="7" t="s">
        <v>1060</v>
      </c>
      <c r="E414" s="39">
        <f>Calculation!D396</f>
        <v>94680</v>
      </c>
      <c r="F414" s="21">
        <f>Calculation!E396</f>
        <v>0.34360000000000002</v>
      </c>
      <c r="G414" s="22">
        <f>Calculation!F396</f>
        <v>0.189</v>
      </c>
      <c r="H414" s="23">
        <f>Calculation!G396</f>
        <v>7</v>
      </c>
      <c r="I414" s="24">
        <f>Calculation!J396</f>
        <v>17893</v>
      </c>
      <c r="J414" s="6" t="str">
        <f t="shared" si="6"/>
        <v>Moderate</v>
      </c>
    </row>
    <row r="415" spans="1:10" ht="15" customHeight="1">
      <c r="A415" s="7">
        <v>396</v>
      </c>
      <c r="B415" s="6" t="s">
        <v>1075</v>
      </c>
      <c r="C415" s="7" t="s">
        <v>1076</v>
      </c>
      <c r="D415" s="7" t="s">
        <v>1060</v>
      </c>
      <c r="E415" s="39">
        <f>Calculation!D397</f>
        <v>94680</v>
      </c>
      <c r="F415" s="21">
        <f>Calculation!E397</f>
        <v>0.32979999999999998</v>
      </c>
      <c r="G415" s="22">
        <f>Calculation!F397</f>
        <v>0.18140000000000001</v>
      </c>
      <c r="H415" s="23">
        <f>Calculation!G397</f>
        <v>6.7</v>
      </c>
      <c r="I415" s="24">
        <f>Calculation!J397</f>
        <v>17174</v>
      </c>
      <c r="J415" s="6" t="str">
        <f t="shared" si="6"/>
        <v>Moderate</v>
      </c>
    </row>
    <row r="416" spans="1:10" ht="15" customHeight="1">
      <c r="A416" s="7">
        <v>397</v>
      </c>
      <c r="B416" s="6" t="s">
        <v>1077</v>
      </c>
      <c r="C416" s="7" t="s">
        <v>1078</v>
      </c>
      <c r="D416" s="7" t="s">
        <v>1060</v>
      </c>
      <c r="E416" s="39">
        <f>Calculation!D398</f>
        <v>94680</v>
      </c>
      <c r="F416" s="21">
        <f>Calculation!E398</f>
        <v>0.23380000000000001</v>
      </c>
      <c r="G416" s="22">
        <f>Calculation!F398</f>
        <v>0.12859999999999999</v>
      </c>
      <c r="H416" s="23">
        <f>Calculation!G398</f>
        <v>4.8</v>
      </c>
      <c r="I416" s="24">
        <f>Calculation!J398</f>
        <v>12175</v>
      </c>
      <c r="J416" s="6" t="str">
        <f t="shared" si="6"/>
        <v>Low</v>
      </c>
    </row>
    <row r="417" spans="1:10" ht="15" customHeight="1">
      <c r="A417" s="7">
        <v>398</v>
      </c>
      <c r="B417" s="6" t="s">
        <v>1079</v>
      </c>
      <c r="C417" s="7" t="s">
        <v>1080</v>
      </c>
      <c r="D417" s="7" t="s">
        <v>1060</v>
      </c>
      <c r="E417" s="39">
        <f>Calculation!D399</f>
        <v>94680</v>
      </c>
      <c r="F417" s="21">
        <f>Calculation!E399</f>
        <v>0.23150000000000001</v>
      </c>
      <c r="G417" s="22">
        <f>Calculation!F399</f>
        <v>0.1273</v>
      </c>
      <c r="H417" s="23">
        <f>Calculation!G399</f>
        <v>4.7</v>
      </c>
      <c r="I417" s="24">
        <f>Calculation!J399</f>
        <v>12055</v>
      </c>
      <c r="J417" s="6" t="str">
        <f t="shared" si="6"/>
        <v>Low</v>
      </c>
    </row>
    <row r="418" spans="1:10" ht="15" customHeight="1">
      <c r="A418" s="7">
        <v>399</v>
      </c>
      <c r="B418" s="6" t="s">
        <v>1081</v>
      </c>
      <c r="C418" s="7" t="s">
        <v>1082</v>
      </c>
      <c r="D418" s="7" t="s">
        <v>1060</v>
      </c>
      <c r="E418" s="39">
        <f>Calculation!D400</f>
        <v>94680</v>
      </c>
      <c r="F418" s="21">
        <f>Calculation!E400</f>
        <v>0.316</v>
      </c>
      <c r="G418" s="22">
        <f>Calculation!F400</f>
        <v>0.17380000000000001</v>
      </c>
      <c r="H418" s="23">
        <f>Calculation!G400</f>
        <v>6.4</v>
      </c>
      <c r="I418" s="24">
        <f>Calculation!J400</f>
        <v>16455</v>
      </c>
      <c r="J418" s="6" t="str">
        <f t="shared" si="6"/>
        <v>Moderate</v>
      </c>
    </row>
    <row r="419" spans="1:10" ht="15" customHeight="1">
      <c r="A419" s="7">
        <v>400</v>
      </c>
      <c r="B419" s="6" t="s">
        <v>1083</v>
      </c>
      <c r="C419" s="7" t="s">
        <v>1084</v>
      </c>
      <c r="D419" s="7" t="s">
        <v>1060</v>
      </c>
      <c r="E419" s="39">
        <f>Calculation!D401</f>
        <v>94680</v>
      </c>
      <c r="F419" s="21">
        <f>Calculation!E401</f>
        <v>0.24579999999999999</v>
      </c>
      <c r="G419" s="22">
        <f>Calculation!F401</f>
        <v>0.13519999999999999</v>
      </c>
      <c r="H419" s="23">
        <f>Calculation!G401</f>
        <v>5</v>
      </c>
      <c r="I419" s="24">
        <f>Calculation!J401</f>
        <v>12800</v>
      </c>
      <c r="J419" s="6" t="str">
        <f t="shared" si="6"/>
        <v>Low</v>
      </c>
    </row>
    <row r="420" spans="1:10" ht="15" customHeight="1">
      <c r="A420" s="7">
        <v>401</v>
      </c>
      <c r="B420" s="6" t="s">
        <v>1085</v>
      </c>
      <c r="C420" s="7" t="s">
        <v>1086</v>
      </c>
      <c r="D420" s="7" t="s">
        <v>1060</v>
      </c>
      <c r="E420" s="39">
        <f>Calculation!D402</f>
        <v>94680</v>
      </c>
      <c r="F420" s="21">
        <f>Calculation!E402</f>
        <v>0.33019999999999999</v>
      </c>
      <c r="G420" s="22">
        <f>Calculation!F402</f>
        <v>0.18160000000000001</v>
      </c>
      <c r="H420" s="23">
        <f>Calculation!G402</f>
        <v>6.7</v>
      </c>
      <c r="I420" s="24">
        <f>Calculation!J402</f>
        <v>17195</v>
      </c>
      <c r="J420" s="6" t="str">
        <f t="shared" si="6"/>
        <v>Moderate</v>
      </c>
    </row>
    <row r="421" spans="1:10" ht="15" customHeight="1">
      <c r="A421" s="7">
        <v>402</v>
      </c>
      <c r="B421" s="6" t="s">
        <v>1087</v>
      </c>
      <c r="C421" s="7" t="s">
        <v>1088</v>
      </c>
      <c r="D421" s="7" t="s">
        <v>1060</v>
      </c>
      <c r="E421" s="39">
        <f>Calculation!D403</f>
        <v>94680</v>
      </c>
      <c r="F421" s="21">
        <f>Calculation!E403</f>
        <v>0.29139999999999999</v>
      </c>
      <c r="G421" s="22">
        <f>Calculation!F403</f>
        <v>0.1603</v>
      </c>
      <c r="H421" s="23">
        <f>Calculation!G403</f>
        <v>5.9</v>
      </c>
      <c r="I421" s="24">
        <f>Calculation!J403</f>
        <v>15174</v>
      </c>
      <c r="J421" s="6" t="str">
        <f t="shared" si="6"/>
        <v>Moderate</v>
      </c>
    </row>
    <row r="422" spans="1:10" ht="15" customHeight="1">
      <c r="A422" s="7">
        <v>403</v>
      </c>
      <c r="B422" s="6" t="s">
        <v>1089</v>
      </c>
      <c r="C422" s="7" t="s">
        <v>1090</v>
      </c>
      <c r="D422" s="7" t="s">
        <v>1060</v>
      </c>
      <c r="E422" s="39">
        <f>Calculation!D404</f>
        <v>94680</v>
      </c>
      <c r="F422" s="21">
        <f>Calculation!E404</f>
        <v>0.29039999999999999</v>
      </c>
      <c r="G422" s="22">
        <f>Calculation!F404</f>
        <v>0.15970000000000001</v>
      </c>
      <c r="H422" s="23">
        <f>Calculation!G404</f>
        <v>5.9</v>
      </c>
      <c r="I422" s="24">
        <f>Calculation!J404</f>
        <v>15122</v>
      </c>
      <c r="J422" s="6" t="str">
        <f t="shared" si="6"/>
        <v>Moderate</v>
      </c>
    </row>
    <row r="423" spans="1:10" ht="15" customHeight="1">
      <c r="A423" s="7">
        <v>404</v>
      </c>
      <c r="B423" s="6" t="s">
        <v>1091</v>
      </c>
      <c r="C423" s="7" t="s">
        <v>1092</v>
      </c>
      <c r="D423" s="7" t="s">
        <v>1060</v>
      </c>
      <c r="E423" s="39">
        <f>Calculation!D405</f>
        <v>94680</v>
      </c>
      <c r="F423" s="21">
        <f>Calculation!E405</f>
        <v>0.4052</v>
      </c>
      <c r="G423" s="22">
        <f>Calculation!F405</f>
        <v>0.22289999999999999</v>
      </c>
      <c r="H423" s="23">
        <f>Calculation!G405</f>
        <v>8.1999999999999993</v>
      </c>
      <c r="I423" s="24">
        <f>Calculation!J405</f>
        <v>21100</v>
      </c>
      <c r="J423" s="6" t="str">
        <f t="shared" si="6"/>
        <v>Moderate</v>
      </c>
    </row>
    <row r="424" spans="1:10" ht="15" customHeight="1">
      <c r="A424" s="7">
        <v>405</v>
      </c>
      <c r="B424" s="6" t="s">
        <v>1093</v>
      </c>
      <c r="C424" s="7" t="s">
        <v>1094</v>
      </c>
      <c r="D424" s="7" t="s">
        <v>1060</v>
      </c>
      <c r="E424" s="39">
        <f>Calculation!D406</f>
        <v>94680</v>
      </c>
      <c r="F424" s="21">
        <f>Calculation!E406</f>
        <v>0.26140000000000002</v>
      </c>
      <c r="G424" s="22">
        <f>Calculation!F406</f>
        <v>0.14380000000000001</v>
      </c>
      <c r="H424" s="23">
        <f>Calculation!G406</f>
        <v>5.3</v>
      </c>
      <c r="I424" s="24">
        <f>Calculation!J406</f>
        <v>13612</v>
      </c>
      <c r="J424" s="6" t="str">
        <f t="shared" si="6"/>
        <v>Low</v>
      </c>
    </row>
    <row r="425" spans="1:10" ht="15" customHeight="1">
      <c r="A425" s="7">
        <v>406</v>
      </c>
      <c r="B425" s="6" t="s">
        <v>1095</v>
      </c>
      <c r="C425" s="7" t="s">
        <v>1096</v>
      </c>
      <c r="D425" s="7" t="s">
        <v>1060</v>
      </c>
      <c r="E425" s="39">
        <f>Calculation!D407</f>
        <v>94680</v>
      </c>
      <c r="F425" s="21">
        <f>Calculation!E407</f>
        <v>0.25829999999999997</v>
      </c>
      <c r="G425" s="22">
        <f>Calculation!F407</f>
        <v>0.1421</v>
      </c>
      <c r="H425" s="23">
        <f>Calculation!G407</f>
        <v>5.3</v>
      </c>
      <c r="I425" s="24">
        <f>Calculation!J407</f>
        <v>13451</v>
      </c>
      <c r="J425" s="6" t="str">
        <f t="shared" si="6"/>
        <v>Low</v>
      </c>
    </row>
    <row r="426" spans="1:10" ht="15" customHeight="1">
      <c r="A426" s="7">
        <v>407</v>
      </c>
      <c r="B426" s="6" t="s">
        <v>1097</v>
      </c>
      <c r="C426" s="7" t="s">
        <v>1098</v>
      </c>
      <c r="D426" s="7" t="s">
        <v>1060</v>
      </c>
      <c r="E426" s="39">
        <f>Calculation!D408</f>
        <v>94680</v>
      </c>
      <c r="F426" s="21">
        <f>Calculation!E408</f>
        <v>0.26140000000000002</v>
      </c>
      <c r="G426" s="22">
        <f>Calculation!F408</f>
        <v>0.14380000000000001</v>
      </c>
      <c r="H426" s="23">
        <f>Calculation!G408</f>
        <v>5.3</v>
      </c>
      <c r="I426" s="24">
        <f>Calculation!J408</f>
        <v>13612</v>
      </c>
      <c r="J426" s="6" t="str">
        <f t="shared" si="6"/>
        <v>Low</v>
      </c>
    </row>
    <row r="427" spans="1:10" ht="15" customHeight="1">
      <c r="A427" s="7">
        <v>408</v>
      </c>
      <c r="B427" s="6" t="s">
        <v>1099</v>
      </c>
      <c r="C427" s="7" t="s">
        <v>1100</v>
      </c>
      <c r="D427" s="7" t="s">
        <v>1060</v>
      </c>
      <c r="E427" s="39">
        <f>Calculation!D409</f>
        <v>94680</v>
      </c>
      <c r="F427" s="21">
        <f>Calculation!E409</f>
        <v>0.47620000000000001</v>
      </c>
      <c r="G427" s="22">
        <f>Calculation!F409</f>
        <v>0.26190000000000002</v>
      </c>
      <c r="H427" s="23">
        <f>Calculation!G409</f>
        <v>9.6999999999999993</v>
      </c>
      <c r="I427" s="24">
        <f>Calculation!J409</f>
        <v>24798</v>
      </c>
      <c r="J427" s="6" t="str">
        <f t="shared" si="6"/>
        <v>High</v>
      </c>
    </row>
    <row r="428" spans="1:10" ht="15" customHeight="1">
      <c r="A428" s="7">
        <v>409</v>
      </c>
      <c r="B428" s="6" t="s">
        <v>1101</v>
      </c>
      <c r="C428" s="7" t="s">
        <v>1102</v>
      </c>
      <c r="D428" s="7" t="s">
        <v>1060</v>
      </c>
      <c r="E428" s="39">
        <f>Calculation!D410</f>
        <v>94680</v>
      </c>
      <c r="F428" s="21">
        <f>Calculation!E410</f>
        <v>0.37430000000000002</v>
      </c>
      <c r="G428" s="22">
        <f>Calculation!F410</f>
        <v>0.2059</v>
      </c>
      <c r="H428" s="23">
        <f>Calculation!G410</f>
        <v>7.6</v>
      </c>
      <c r="I428" s="24">
        <f>Calculation!J410</f>
        <v>19491</v>
      </c>
      <c r="J428" s="6" t="str">
        <f t="shared" si="6"/>
        <v>Moderate</v>
      </c>
    </row>
    <row r="429" spans="1:10" ht="15" customHeight="1">
      <c r="A429" s="7">
        <v>410</v>
      </c>
      <c r="B429" s="6" t="s">
        <v>1103</v>
      </c>
      <c r="C429" s="7" t="s">
        <v>1104</v>
      </c>
      <c r="D429" s="7" t="s">
        <v>1060</v>
      </c>
      <c r="E429" s="39">
        <f>Calculation!D411</f>
        <v>94680</v>
      </c>
      <c r="F429" s="21">
        <f>Calculation!E411</f>
        <v>0.1961</v>
      </c>
      <c r="G429" s="22">
        <f>Calculation!F411</f>
        <v>0.1079</v>
      </c>
      <c r="H429" s="23">
        <f>Calculation!G411</f>
        <v>4</v>
      </c>
      <c r="I429" s="24">
        <f>Calculation!J411</f>
        <v>10212</v>
      </c>
      <c r="J429" s="6" t="str">
        <f t="shared" si="6"/>
        <v>Low</v>
      </c>
    </row>
    <row r="430" spans="1:10" ht="15" customHeight="1">
      <c r="A430" s="7">
        <v>411</v>
      </c>
      <c r="B430" s="6" t="s">
        <v>1105</v>
      </c>
      <c r="C430" s="7" t="s">
        <v>1106</v>
      </c>
      <c r="D430" s="7" t="s">
        <v>1060</v>
      </c>
      <c r="E430" s="39">
        <f>Calculation!D412</f>
        <v>94680</v>
      </c>
      <c r="F430" s="21">
        <f>Calculation!E412</f>
        <v>0.2054</v>
      </c>
      <c r="G430" s="22">
        <f>Calculation!F412</f>
        <v>0.113</v>
      </c>
      <c r="H430" s="23">
        <f>Calculation!G412</f>
        <v>4.2</v>
      </c>
      <c r="I430" s="24">
        <f>Calculation!J412</f>
        <v>10696</v>
      </c>
      <c r="J430" s="6" t="str">
        <f t="shared" si="6"/>
        <v>Low</v>
      </c>
    </row>
    <row r="431" spans="1:10" ht="15" customHeight="1">
      <c r="A431" s="7">
        <v>412</v>
      </c>
      <c r="B431" s="6" t="s">
        <v>1107</v>
      </c>
      <c r="C431" s="7" t="s">
        <v>1108</v>
      </c>
      <c r="D431" s="7" t="s">
        <v>1060</v>
      </c>
      <c r="E431" s="39">
        <f>Calculation!D413</f>
        <v>94680</v>
      </c>
      <c r="F431" s="21">
        <f>Calculation!E413</f>
        <v>0.22969999999999999</v>
      </c>
      <c r="G431" s="22">
        <f>Calculation!F413</f>
        <v>0.1263</v>
      </c>
      <c r="H431" s="23">
        <f>Calculation!G413</f>
        <v>4.7</v>
      </c>
      <c r="I431" s="24">
        <f>Calculation!J413</f>
        <v>11961</v>
      </c>
      <c r="J431" s="6" t="str">
        <f t="shared" si="6"/>
        <v>Low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J29"/>
  <sheetViews>
    <sheetView zoomScaleNormal="100" workbookViewId="0"/>
  </sheetViews>
  <sheetFormatPr defaultColWidth="8.7109375" defaultRowHeight="14.25"/>
  <cols>
    <col min="1" max="1" width="16" customWidth="1"/>
    <col min="2" max="2" width="45" customWidth="1"/>
    <col min="3" max="3" width="18" customWidth="1"/>
    <col min="4" max="4" width="22" customWidth="1"/>
    <col min="5" max="5" width="20" customWidth="1"/>
    <col min="6" max="6" width="22" customWidth="1"/>
    <col min="7" max="8" width="24" customWidth="1"/>
    <col min="9" max="10" width="44" customWidth="1"/>
  </cols>
  <sheetData>
    <row r="1" spans="1:10" ht="26.85" customHeight="1">
      <c r="A1" s="5" t="s">
        <v>242</v>
      </c>
      <c r="B1" s="5" t="s">
        <v>1138</v>
      </c>
      <c r="C1" s="5" t="s">
        <v>1139</v>
      </c>
      <c r="D1" s="5" t="s">
        <v>1140</v>
      </c>
      <c r="E1" s="5" t="s">
        <v>1141</v>
      </c>
      <c r="F1" s="5" t="s">
        <v>1142</v>
      </c>
      <c r="G1" s="5" t="s">
        <v>1143</v>
      </c>
      <c r="H1" s="5" t="s">
        <v>1144</v>
      </c>
      <c r="I1" s="5" t="s">
        <v>1145</v>
      </c>
      <c r="J1" s="5" t="s">
        <v>1146</v>
      </c>
    </row>
    <row r="2" spans="1:10" ht="15" customHeight="1">
      <c r="A2" s="6" t="s">
        <v>1147</v>
      </c>
      <c r="B2" s="7" t="s">
        <v>264</v>
      </c>
      <c r="C2" s="39">
        <v>19</v>
      </c>
      <c r="D2" s="39">
        <v>3187</v>
      </c>
      <c r="E2" s="21">
        <v>0.63090000000000002</v>
      </c>
      <c r="F2" s="40">
        <v>0.31540000000000001</v>
      </c>
      <c r="G2" s="23">
        <v>11.7</v>
      </c>
      <c r="H2" s="24">
        <v>1005290</v>
      </c>
      <c r="I2" s="7" t="s">
        <v>284</v>
      </c>
      <c r="J2" s="7" t="s">
        <v>294</v>
      </c>
    </row>
    <row r="3" spans="1:10" ht="15" customHeight="1">
      <c r="A3" s="6" t="s">
        <v>1148</v>
      </c>
      <c r="B3" s="7" t="s">
        <v>303</v>
      </c>
      <c r="C3" s="39">
        <v>22</v>
      </c>
      <c r="D3" s="39">
        <v>2041</v>
      </c>
      <c r="E3" s="21">
        <v>0.60529999999999995</v>
      </c>
      <c r="F3" s="40">
        <v>0.33289999999999997</v>
      </c>
      <c r="G3" s="23">
        <v>12.3</v>
      </c>
      <c r="H3" s="24">
        <v>679456</v>
      </c>
      <c r="I3" s="7" t="s">
        <v>337</v>
      </c>
      <c r="J3" s="7" t="s">
        <v>1149</v>
      </c>
    </row>
    <row r="4" spans="1:10" ht="15" customHeight="1">
      <c r="A4" s="6" t="s">
        <v>1150</v>
      </c>
      <c r="B4" s="7" t="s">
        <v>348</v>
      </c>
      <c r="C4" s="39">
        <v>28</v>
      </c>
      <c r="D4" s="39">
        <v>2106</v>
      </c>
      <c r="E4" s="21">
        <v>0.76090000000000002</v>
      </c>
      <c r="F4" s="41">
        <v>0.3805</v>
      </c>
      <c r="G4" s="23">
        <v>14.1</v>
      </c>
      <c r="H4" s="24">
        <v>801266</v>
      </c>
      <c r="I4" s="7" t="s">
        <v>400</v>
      </c>
      <c r="J4" s="7" t="s">
        <v>378</v>
      </c>
    </row>
    <row r="5" spans="1:10" ht="15" customHeight="1">
      <c r="A5" s="6" t="s">
        <v>1151</v>
      </c>
      <c r="B5" s="7" t="s">
        <v>405</v>
      </c>
      <c r="C5" s="39">
        <v>26</v>
      </c>
      <c r="D5" s="39">
        <v>1847</v>
      </c>
      <c r="E5" s="21">
        <v>0.60550000000000004</v>
      </c>
      <c r="F5" s="40">
        <v>0.33300000000000002</v>
      </c>
      <c r="G5" s="23">
        <v>12.3</v>
      </c>
      <c r="H5" s="24">
        <v>615066</v>
      </c>
      <c r="I5" s="7" t="s">
        <v>449</v>
      </c>
      <c r="J5" s="7" t="s">
        <v>409</v>
      </c>
    </row>
    <row r="6" spans="1:10" ht="15" customHeight="1">
      <c r="A6" s="6" t="s">
        <v>1152</v>
      </c>
      <c r="B6" s="7" t="s">
        <v>458</v>
      </c>
      <c r="C6" s="39">
        <v>11</v>
      </c>
      <c r="D6" s="39">
        <v>1712</v>
      </c>
      <c r="E6" s="21">
        <v>0.67259999999999998</v>
      </c>
      <c r="F6" s="40">
        <v>0.3901</v>
      </c>
      <c r="G6" s="23">
        <v>14.4</v>
      </c>
      <c r="H6" s="24">
        <v>667836</v>
      </c>
      <c r="I6" s="7" t="s">
        <v>457</v>
      </c>
      <c r="J6" s="7" t="s">
        <v>466</v>
      </c>
    </row>
    <row r="7" spans="1:10" ht="15" customHeight="1">
      <c r="A7" s="6" t="s">
        <v>1153</v>
      </c>
      <c r="B7" s="7" t="s">
        <v>481</v>
      </c>
      <c r="C7" s="39">
        <v>31</v>
      </c>
      <c r="D7" s="39">
        <v>2389</v>
      </c>
      <c r="E7" s="21">
        <v>0.70669999999999999</v>
      </c>
      <c r="F7" s="40">
        <v>0.35339999999999999</v>
      </c>
      <c r="G7" s="23">
        <v>13.1</v>
      </c>
      <c r="H7" s="24">
        <v>844166</v>
      </c>
      <c r="I7" s="7" t="s">
        <v>503</v>
      </c>
      <c r="J7" s="7" t="s">
        <v>524</v>
      </c>
    </row>
    <row r="8" spans="1:10" ht="15" customHeight="1">
      <c r="A8" s="6" t="s">
        <v>1154</v>
      </c>
      <c r="B8" s="7" t="s">
        <v>543</v>
      </c>
      <c r="C8" s="39">
        <v>12</v>
      </c>
      <c r="D8" s="39">
        <v>684</v>
      </c>
      <c r="E8" s="21">
        <v>0.63870000000000005</v>
      </c>
      <c r="F8" s="40">
        <v>0.31940000000000002</v>
      </c>
      <c r="G8" s="23">
        <v>11.8</v>
      </c>
      <c r="H8" s="24">
        <v>218447</v>
      </c>
      <c r="I8" s="7" t="s">
        <v>1155</v>
      </c>
      <c r="J8" s="7" t="s">
        <v>549</v>
      </c>
    </row>
    <row r="9" spans="1:10" ht="15" customHeight="1">
      <c r="A9" s="6" t="s">
        <v>1156</v>
      </c>
      <c r="B9" s="7" t="s">
        <v>568</v>
      </c>
      <c r="C9" s="39">
        <v>13</v>
      </c>
      <c r="D9" s="39">
        <v>931</v>
      </c>
      <c r="E9" s="21">
        <v>0.55389999999999995</v>
      </c>
      <c r="F9" s="40">
        <v>0.30459999999999998</v>
      </c>
      <c r="G9" s="23">
        <v>11.3</v>
      </c>
      <c r="H9" s="24">
        <v>283623</v>
      </c>
      <c r="I9" s="7" t="s">
        <v>588</v>
      </c>
      <c r="J9" s="7" t="s">
        <v>592</v>
      </c>
    </row>
    <row r="10" spans="1:10" ht="15" customHeight="1">
      <c r="A10" s="6" t="s">
        <v>1157</v>
      </c>
      <c r="B10" s="7" t="s">
        <v>595</v>
      </c>
      <c r="C10" s="39">
        <v>5</v>
      </c>
      <c r="D10" s="39">
        <v>438</v>
      </c>
      <c r="E10" s="21">
        <v>0.52329999999999999</v>
      </c>
      <c r="F10" s="42">
        <v>0.2878</v>
      </c>
      <c r="G10" s="23">
        <v>10.6</v>
      </c>
      <c r="H10" s="24">
        <v>126058</v>
      </c>
      <c r="I10" s="7" t="s">
        <v>597</v>
      </c>
      <c r="J10" s="7" t="s">
        <v>594</v>
      </c>
    </row>
    <row r="11" spans="1:10" ht="15" customHeight="1">
      <c r="A11" s="6" t="s">
        <v>1158</v>
      </c>
      <c r="B11" s="7" t="s">
        <v>606</v>
      </c>
      <c r="C11" s="39">
        <v>14</v>
      </c>
      <c r="D11" s="39">
        <v>571</v>
      </c>
      <c r="E11" s="21">
        <v>0.55269999999999997</v>
      </c>
      <c r="F11" s="40">
        <v>0.27629999999999999</v>
      </c>
      <c r="G11" s="23">
        <v>10.199999999999999</v>
      </c>
      <c r="H11" s="24">
        <v>157785</v>
      </c>
      <c r="I11" s="7" t="s">
        <v>608</v>
      </c>
      <c r="J11" s="7" t="s">
        <v>626</v>
      </c>
    </row>
    <row r="12" spans="1:10" ht="15" customHeight="1">
      <c r="A12" s="6" t="s">
        <v>1159</v>
      </c>
      <c r="B12" s="7" t="s">
        <v>635</v>
      </c>
      <c r="C12" s="39">
        <v>34</v>
      </c>
      <c r="D12" s="39">
        <v>2197</v>
      </c>
      <c r="E12" s="21">
        <v>0.65039999999999998</v>
      </c>
      <c r="F12" s="40">
        <v>0.32519999999999999</v>
      </c>
      <c r="G12" s="23">
        <v>12</v>
      </c>
      <c r="H12" s="24">
        <v>714442</v>
      </c>
      <c r="I12" s="7" t="s">
        <v>665</v>
      </c>
      <c r="J12" s="7" t="s">
        <v>639</v>
      </c>
    </row>
    <row r="13" spans="1:10" ht="15" customHeight="1">
      <c r="A13" s="6" t="s">
        <v>1160</v>
      </c>
      <c r="B13" s="7" t="s">
        <v>703</v>
      </c>
      <c r="C13" s="39">
        <v>20</v>
      </c>
      <c r="D13" s="39">
        <v>2355</v>
      </c>
      <c r="E13" s="21">
        <v>0.69469999999999998</v>
      </c>
      <c r="F13" s="41">
        <v>0.33350000000000002</v>
      </c>
      <c r="G13" s="23">
        <v>12.3</v>
      </c>
      <c r="H13" s="24">
        <v>785278</v>
      </c>
      <c r="I13" s="7" t="s">
        <v>711</v>
      </c>
      <c r="J13" s="7" t="s">
        <v>733</v>
      </c>
    </row>
    <row r="14" spans="1:10" ht="15" customHeight="1">
      <c r="A14" s="6" t="s">
        <v>1161</v>
      </c>
      <c r="B14" s="7" t="s">
        <v>744</v>
      </c>
      <c r="C14" s="39">
        <v>7</v>
      </c>
      <c r="D14" s="39">
        <v>755</v>
      </c>
      <c r="E14" s="21">
        <v>0.75509999999999999</v>
      </c>
      <c r="F14" s="41">
        <v>0.36249999999999999</v>
      </c>
      <c r="G14" s="23">
        <v>13.4</v>
      </c>
      <c r="H14" s="24">
        <v>273663</v>
      </c>
      <c r="I14" s="7" t="s">
        <v>752</v>
      </c>
      <c r="J14" s="7" t="s">
        <v>754</v>
      </c>
    </row>
    <row r="15" spans="1:10" ht="15" customHeight="1">
      <c r="A15" s="6" t="s">
        <v>1162</v>
      </c>
      <c r="B15" s="7" t="s">
        <v>759</v>
      </c>
      <c r="C15" s="39">
        <v>5</v>
      </c>
      <c r="D15" s="39">
        <v>212</v>
      </c>
      <c r="E15" s="21">
        <v>0.3246</v>
      </c>
      <c r="F15" s="42">
        <v>0.1948</v>
      </c>
      <c r="G15" s="23">
        <v>7.2</v>
      </c>
      <c r="H15" s="24">
        <v>41289</v>
      </c>
      <c r="I15" s="7" t="s">
        <v>758</v>
      </c>
      <c r="J15" s="7" t="s">
        <v>765</v>
      </c>
    </row>
    <row r="16" spans="1:10" ht="15" customHeight="1">
      <c r="A16" s="6" t="s">
        <v>1163</v>
      </c>
      <c r="B16" s="7" t="s">
        <v>770</v>
      </c>
      <c r="C16" s="39">
        <v>20</v>
      </c>
      <c r="D16" s="39">
        <v>1284</v>
      </c>
      <c r="E16" s="21">
        <v>0.43230000000000002</v>
      </c>
      <c r="F16" s="42">
        <v>0.25080000000000002</v>
      </c>
      <c r="G16" s="23">
        <v>9.3000000000000007</v>
      </c>
      <c r="H16" s="24">
        <v>321969</v>
      </c>
      <c r="I16" s="7" t="s">
        <v>796</v>
      </c>
      <c r="J16" s="7" t="s">
        <v>784</v>
      </c>
    </row>
    <row r="17" spans="1:10" ht="15" customHeight="1">
      <c r="A17" s="6" t="s">
        <v>1164</v>
      </c>
      <c r="B17" s="7" t="s">
        <v>811</v>
      </c>
      <c r="C17" s="39">
        <v>12</v>
      </c>
      <c r="D17" s="39">
        <v>831</v>
      </c>
      <c r="E17" s="21">
        <v>0.31519999999999998</v>
      </c>
      <c r="F17" s="43">
        <v>0.18909999999999999</v>
      </c>
      <c r="G17" s="23">
        <v>7</v>
      </c>
      <c r="H17" s="24">
        <v>157155</v>
      </c>
      <c r="I17" s="7" t="s">
        <v>833</v>
      </c>
      <c r="J17" s="7" t="s">
        <v>817</v>
      </c>
    </row>
    <row r="18" spans="1:10" ht="15" customHeight="1">
      <c r="A18" s="6" t="s">
        <v>1165</v>
      </c>
      <c r="B18" s="7" t="s">
        <v>836</v>
      </c>
      <c r="C18" s="39">
        <v>17</v>
      </c>
      <c r="D18" s="39">
        <v>714</v>
      </c>
      <c r="E18" s="21">
        <v>0.3609</v>
      </c>
      <c r="F18" s="42">
        <v>0.20930000000000001</v>
      </c>
      <c r="G18" s="23">
        <v>7.7</v>
      </c>
      <c r="H18" s="24">
        <v>149461</v>
      </c>
      <c r="I18" s="7" t="s">
        <v>844</v>
      </c>
      <c r="J18" s="7" t="s">
        <v>835</v>
      </c>
    </row>
    <row r="19" spans="1:10" ht="15" customHeight="1">
      <c r="A19" s="6" t="s">
        <v>1166</v>
      </c>
      <c r="B19" s="7" t="s">
        <v>871</v>
      </c>
      <c r="C19" s="39">
        <v>15</v>
      </c>
      <c r="D19" s="39">
        <v>1879</v>
      </c>
      <c r="E19" s="21">
        <v>0.43659999999999999</v>
      </c>
      <c r="F19" s="42">
        <v>0.26200000000000001</v>
      </c>
      <c r="G19" s="23">
        <v>9.6999999999999993</v>
      </c>
      <c r="H19" s="24">
        <v>492277</v>
      </c>
      <c r="I19" s="7" t="s">
        <v>875</v>
      </c>
      <c r="J19" s="7" t="s">
        <v>897</v>
      </c>
    </row>
    <row r="20" spans="1:10" ht="15" customHeight="1">
      <c r="A20" s="6" t="s">
        <v>1167</v>
      </c>
      <c r="B20" s="7" t="s">
        <v>902</v>
      </c>
      <c r="C20" s="39">
        <v>11</v>
      </c>
      <c r="D20" s="39">
        <v>764</v>
      </c>
      <c r="E20" s="21">
        <v>0.4612</v>
      </c>
      <c r="F20" s="42">
        <v>0.25369999999999998</v>
      </c>
      <c r="G20" s="23">
        <v>9.4</v>
      </c>
      <c r="H20" s="24">
        <v>193809</v>
      </c>
      <c r="I20" s="7" t="s">
        <v>914</v>
      </c>
      <c r="J20" s="7" t="s">
        <v>906</v>
      </c>
    </row>
    <row r="21" spans="1:10" ht="15" customHeight="1">
      <c r="A21" s="6" t="s">
        <v>1168</v>
      </c>
      <c r="B21" s="7" t="s">
        <v>925</v>
      </c>
      <c r="C21" s="39">
        <v>2</v>
      </c>
      <c r="D21" s="39">
        <v>108</v>
      </c>
      <c r="E21" s="21">
        <v>0.46739999999999998</v>
      </c>
      <c r="F21" s="42">
        <v>0.27110000000000001</v>
      </c>
      <c r="G21" s="23">
        <v>10</v>
      </c>
      <c r="H21" s="24">
        <v>29278</v>
      </c>
      <c r="I21" s="7" t="s">
        <v>924</v>
      </c>
      <c r="J21" s="7" t="s">
        <v>927</v>
      </c>
    </row>
    <row r="22" spans="1:10" ht="15" customHeight="1">
      <c r="A22" s="6" t="s">
        <v>1169</v>
      </c>
      <c r="B22" s="7" t="s">
        <v>930</v>
      </c>
      <c r="C22" s="39">
        <v>15</v>
      </c>
      <c r="D22" s="39">
        <v>1647</v>
      </c>
      <c r="E22" s="21">
        <v>0.59909999999999997</v>
      </c>
      <c r="F22" s="40">
        <v>0.3115</v>
      </c>
      <c r="G22" s="23">
        <v>11.5</v>
      </c>
      <c r="H22" s="24">
        <v>513053</v>
      </c>
      <c r="I22" s="7" t="s">
        <v>934</v>
      </c>
      <c r="J22" s="7" t="s">
        <v>946</v>
      </c>
    </row>
    <row r="23" spans="1:10" ht="15" customHeight="1">
      <c r="A23" s="6" t="s">
        <v>1170</v>
      </c>
      <c r="B23" s="7" t="s">
        <v>960</v>
      </c>
      <c r="C23" s="39">
        <v>6</v>
      </c>
      <c r="D23" s="39">
        <v>556</v>
      </c>
      <c r="E23" s="21">
        <v>0.72289999999999999</v>
      </c>
      <c r="F23" s="41">
        <v>0.34699999999999998</v>
      </c>
      <c r="G23" s="23">
        <v>12.8</v>
      </c>
      <c r="H23" s="24">
        <v>192928</v>
      </c>
      <c r="I23" s="7" t="s">
        <v>959</v>
      </c>
      <c r="J23" s="7" t="s">
        <v>968</v>
      </c>
    </row>
    <row r="24" spans="1:10" ht="15" customHeight="1">
      <c r="A24" s="6" t="s">
        <v>1171</v>
      </c>
      <c r="B24" s="7" t="s">
        <v>973</v>
      </c>
      <c r="C24" s="39">
        <v>26</v>
      </c>
      <c r="D24" s="39">
        <v>1048</v>
      </c>
      <c r="E24" s="21">
        <v>0.33179999999999998</v>
      </c>
      <c r="F24" s="42">
        <v>0.1991</v>
      </c>
      <c r="G24" s="23">
        <v>7.4</v>
      </c>
      <c r="H24" s="24">
        <v>208669</v>
      </c>
      <c r="I24" s="7" t="s">
        <v>1023</v>
      </c>
      <c r="J24" s="7" t="s">
        <v>1017</v>
      </c>
    </row>
    <row r="25" spans="1:10" ht="15" customHeight="1">
      <c r="A25" s="6" t="s">
        <v>1172</v>
      </c>
      <c r="B25" s="7" t="s">
        <v>1026</v>
      </c>
      <c r="C25" s="39">
        <v>8</v>
      </c>
      <c r="D25" s="39">
        <v>1149</v>
      </c>
      <c r="E25" s="21">
        <v>0.24629999999999999</v>
      </c>
      <c r="F25" s="43">
        <v>0.14779999999999999</v>
      </c>
      <c r="G25" s="23">
        <v>5.5</v>
      </c>
      <c r="H25" s="24">
        <v>169816</v>
      </c>
      <c r="I25" s="7" t="s">
        <v>1030</v>
      </c>
      <c r="J25" s="7" t="s">
        <v>1025</v>
      </c>
    </row>
    <row r="26" spans="1:10" ht="15" customHeight="1">
      <c r="A26" s="6" t="s">
        <v>1173</v>
      </c>
      <c r="B26" s="7" t="s">
        <v>1043</v>
      </c>
      <c r="C26" s="39">
        <v>8</v>
      </c>
      <c r="D26" s="39">
        <v>478</v>
      </c>
      <c r="E26" s="21">
        <v>0.22850000000000001</v>
      </c>
      <c r="F26" s="43">
        <v>0.1371</v>
      </c>
      <c r="G26" s="23">
        <v>5.0999999999999996</v>
      </c>
      <c r="H26" s="24">
        <v>65541</v>
      </c>
      <c r="I26" s="7" t="s">
        <v>1055</v>
      </c>
      <c r="J26" s="7" t="s">
        <v>1174</v>
      </c>
    </row>
    <row r="27" spans="1:10" ht="15" customHeight="1">
      <c r="A27" s="6" t="s">
        <v>1175</v>
      </c>
      <c r="B27" s="7" t="s">
        <v>1060</v>
      </c>
      <c r="C27" s="39">
        <v>25</v>
      </c>
      <c r="D27" s="39">
        <v>2367</v>
      </c>
      <c r="E27" s="21">
        <v>0.3049</v>
      </c>
      <c r="F27" s="43">
        <v>0.16769999999999999</v>
      </c>
      <c r="G27" s="23">
        <v>6.2</v>
      </c>
      <c r="H27" s="24">
        <v>396997</v>
      </c>
      <c r="I27" s="7" t="s">
        <v>1100</v>
      </c>
      <c r="J27" s="7" t="s">
        <v>1104</v>
      </c>
    </row>
    <row r="29" spans="1:10" ht="15" customHeight="1">
      <c r="A29" s="1" t="s">
        <v>1116</v>
      </c>
      <c r="C29" s="26">
        <f>SUM(C2:C27)</f>
        <v>412</v>
      </c>
      <c r="D29" s="26">
        <f>SUM(D2:D27)</f>
        <v>34250</v>
      </c>
      <c r="H29" s="44">
        <f>SUM(H2:H27)</f>
        <v>10104618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6"/>
  <sheetViews>
    <sheetView workbookViewId="0"/>
  </sheetViews>
  <sheetFormatPr defaultRowHeight="14.25"/>
  <cols>
    <col min="1" max="1" width="42" customWidth="1"/>
    <col min="2" max="2" width="12" customWidth="1"/>
    <col min="3" max="5" width="14" customWidth="1"/>
    <col min="6" max="6" width="12" customWidth="1"/>
    <col min="7" max="7" width="50" customWidth="1"/>
  </cols>
  <sheetData>
    <row r="1" spans="1:8" ht="16.899999999999999">
      <c r="A1" s="90" t="s">
        <v>1176</v>
      </c>
      <c r="B1" s="85"/>
      <c r="C1" s="85"/>
      <c r="D1" s="85"/>
      <c r="E1" s="85"/>
      <c r="F1" s="85"/>
      <c r="G1" s="85"/>
      <c r="H1" s="85"/>
    </row>
    <row r="2" spans="1:8">
      <c r="A2" s="86" t="s">
        <v>1177</v>
      </c>
      <c r="B2" s="85"/>
      <c r="C2" s="85"/>
      <c r="D2" s="85"/>
      <c r="E2" s="85"/>
      <c r="F2" s="85"/>
      <c r="G2" s="85"/>
      <c r="H2" s="85"/>
    </row>
    <row r="4" spans="1:8">
      <c r="A4" s="51" t="s">
        <v>1178</v>
      </c>
    </row>
    <row r="5" spans="1:8" ht="24">
      <c r="A5" s="71" t="s">
        <v>8</v>
      </c>
      <c r="B5" s="71" t="s">
        <v>1179</v>
      </c>
      <c r="C5" s="71" t="s">
        <v>1180</v>
      </c>
      <c r="D5" s="71" t="s">
        <v>1181</v>
      </c>
      <c r="E5" s="71" t="s">
        <v>1182</v>
      </c>
      <c r="F5" s="71" t="s">
        <v>1183</v>
      </c>
      <c r="G5" s="71" t="s">
        <v>1184</v>
      </c>
    </row>
    <row r="6" spans="1:8">
      <c r="A6" s="47" t="s">
        <v>181</v>
      </c>
      <c r="B6" s="17">
        <v>0.92</v>
      </c>
      <c r="C6" s="17">
        <v>0.95</v>
      </c>
      <c r="D6" s="17">
        <v>0.96</v>
      </c>
      <c r="E6" s="48">
        <v>0.98</v>
      </c>
      <c r="F6" s="49">
        <v>3.9999999999999918E-2</v>
      </c>
      <c r="G6" s="52" t="s">
        <v>1185</v>
      </c>
    </row>
    <row r="7" spans="1:8">
      <c r="A7" s="47" t="s">
        <v>185</v>
      </c>
      <c r="B7" s="17">
        <v>0.88</v>
      </c>
      <c r="C7" s="17">
        <v>0.93</v>
      </c>
      <c r="D7" s="17">
        <v>0.94</v>
      </c>
      <c r="E7" s="48">
        <v>0.98</v>
      </c>
      <c r="F7" s="49">
        <v>5.9999999999999942E-2</v>
      </c>
      <c r="G7" s="52" t="s">
        <v>1186</v>
      </c>
    </row>
    <row r="8" spans="1:8">
      <c r="A8" s="47" t="s">
        <v>188</v>
      </c>
      <c r="B8" s="17">
        <v>0.85</v>
      </c>
      <c r="C8" s="17">
        <v>0.91</v>
      </c>
      <c r="D8" s="17">
        <v>0.93</v>
      </c>
      <c r="E8" s="48">
        <v>0.97899999999999998</v>
      </c>
      <c r="F8" s="49">
        <v>8.0000000000000071E-2</v>
      </c>
      <c r="G8" s="52" t="s">
        <v>1187</v>
      </c>
    </row>
    <row r="9" spans="1:8">
      <c r="A9" s="47" t="s">
        <v>191</v>
      </c>
      <c r="B9" s="17">
        <v>0.82</v>
      </c>
      <c r="C9" s="17">
        <v>0.88</v>
      </c>
      <c r="D9" s="17">
        <v>0.9</v>
      </c>
      <c r="E9" s="48">
        <v>0.97</v>
      </c>
      <c r="F9" s="49">
        <v>8.0000000000000071E-2</v>
      </c>
      <c r="G9" s="52" t="s">
        <v>1188</v>
      </c>
    </row>
    <row r="10" spans="1:8">
      <c r="A10" s="47" t="s">
        <v>194</v>
      </c>
      <c r="B10" s="17">
        <v>0.8</v>
      </c>
      <c r="C10" s="17">
        <v>0.87</v>
      </c>
      <c r="D10" s="17">
        <v>0.88</v>
      </c>
      <c r="E10" s="48">
        <v>0.96399999999999997</v>
      </c>
      <c r="F10" s="49">
        <v>7.999999999999996E-2</v>
      </c>
      <c r="G10" s="52" t="s">
        <v>1189</v>
      </c>
    </row>
    <row r="11" spans="1:8">
      <c r="A11" s="47" t="s">
        <v>197</v>
      </c>
      <c r="B11" s="17">
        <v>0.78</v>
      </c>
      <c r="C11" s="17">
        <v>0.86</v>
      </c>
      <c r="D11" s="17">
        <v>0.88</v>
      </c>
      <c r="E11" s="48">
        <v>0.96399999999999997</v>
      </c>
      <c r="F11" s="49">
        <v>9.9999999999999978E-2</v>
      </c>
      <c r="G11" s="52" t="s">
        <v>1190</v>
      </c>
    </row>
    <row r="12" spans="1:8">
      <c r="A12" s="47" t="s">
        <v>199</v>
      </c>
      <c r="B12" s="17">
        <v>0.7</v>
      </c>
      <c r="C12" s="17">
        <v>0.82</v>
      </c>
      <c r="D12" s="17">
        <v>0.85</v>
      </c>
      <c r="E12" s="48">
        <v>0.95499999999999996</v>
      </c>
      <c r="F12" s="77">
        <v>0.15</v>
      </c>
      <c r="G12" s="52" t="s">
        <v>1191</v>
      </c>
    </row>
    <row r="13" spans="1:8">
      <c r="A13" s="47" t="s">
        <v>203</v>
      </c>
      <c r="B13" s="17">
        <v>0.65</v>
      </c>
      <c r="C13" s="17">
        <v>0.8</v>
      </c>
      <c r="D13" s="17">
        <v>0.82</v>
      </c>
      <c r="E13" s="48">
        <v>0.94599999999999995</v>
      </c>
      <c r="F13" s="77">
        <v>0.1699999999999999</v>
      </c>
      <c r="G13" s="52" t="s">
        <v>1192</v>
      </c>
    </row>
    <row r="14" spans="1:8">
      <c r="A14" s="47" t="s">
        <v>206</v>
      </c>
      <c r="B14" s="17">
        <v>0.75</v>
      </c>
      <c r="C14" s="17">
        <v>0.79</v>
      </c>
      <c r="D14" s="17">
        <v>0.82</v>
      </c>
      <c r="E14" s="48">
        <v>0.94599999999999995</v>
      </c>
      <c r="F14" s="49">
        <v>6.9999999999999951E-2</v>
      </c>
      <c r="G14" s="52" t="s">
        <v>1193</v>
      </c>
    </row>
    <row r="15" spans="1:8">
      <c r="A15" s="47" t="s">
        <v>209</v>
      </c>
      <c r="B15" s="17">
        <v>0.55000000000000004</v>
      </c>
      <c r="C15" s="17">
        <v>0.74</v>
      </c>
      <c r="D15" s="17">
        <v>0.78</v>
      </c>
      <c r="E15" s="48">
        <v>0.93400000000000005</v>
      </c>
      <c r="F15" s="77">
        <v>0.23</v>
      </c>
      <c r="G15" s="52" t="s">
        <v>1194</v>
      </c>
    </row>
    <row r="16" spans="1:8">
      <c r="A16" s="47" t="s">
        <v>212</v>
      </c>
      <c r="B16" s="17">
        <v>0.5</v>
      </c>
      <c r="C16" s="17">
        <v>0.75</v>
      </c>
      <c r="D16" s="78">
        <v>0.8</v>
      </c>
      <c r="E16" s="48">
        <v>0.94</v>
      </c>
      <c r="F16" s="77">
        <v>0.3</v>
      </c>
      <c r="G16" s="52" t="s">
        <v>1195</v>
      </c>
    </row>
    <row r="17" spans="1:7">
      <c r="A17" s="47" t="s">
        <v>215</v>
      </c>
      <c r="B17" s="17">
        <v>0.35</v>
      </c>
      <c r="C17" s="17">
        <v>0.55000000000000004</v>
      </c>
      <c r="D17" s="17">
        <v>0.57999999999999996</v>
      </c>
      <c r="E17" s="48">
        <v>0.81100000000000005</v>
      </c>
      <c r="F17" s="77">
        <v>0.23</v>
      </c>
      <c r="G17" s="52" t="s">
        <v>1196</v>
      </c>
    </row>
    <row r="18" spans="1:7">
      <c r="A18" s="47" t="s">
        <v>219</v>
      </c>
      <c r="B18" s="17">
        <v>0.25</v>
      </c>
      <c r="C18" s="17">
        <v>0.42</v>
      </c>
      <c r="D18" s="17">
        <v>0.45</v>
      </c>
      <c r="E18" s="48">
        <v>0.752</v>
      </c>
      <c r="F18" s="77">
        <v>0.2</v>
      </c>
      <c r="G18" s="52" t="s">
        <v>1197</v>
      </c>
    </row>
    <row r="19" spans="1:7">
      <c r="A19" s="47" t="s">
        <v>222</v>
      </c>
      <c r="B19" s="17">
        <v>0.35</v>
      </c>
      <c r="C19" s="17">
        <v>0.52</v>
      </c>
      <c r="D19" s="78">
        <v>0.6</v>
      </c>
      <c r="E19" s="48">
        <v>0.82</v>
      </c>
      <c r="F19" s="77">
        <v>0.25</v>
      </c>
      <c r="G19" s="52" t="s">
        <v>1198</v>
      </c>
    </row>
    <row r="20" spans="1:7">
      <c r="A20" s="47" t="s">
        <v>225</v>
      </c>
      <c r="B20" s="17">
        <v>0.2</v>
      </c>
      <c r="C20" s="17">
        <v>0.32</v>
      </c>
      <c r="D20" s="17">
        <v>0.35</v>
      </c>
      <c r="E20" s="48">
        <v>0.70799999999999996</v>
      </c>
      <c r="F20" s="49">
        <v>0.15</v>
      </c>
      <c r="G20" s="52" t="s">
        <v>1199</v>
      </c>
    </row>
    <row r="21" spans="1:7">
      <c r="A21" s="47" t="s">
        <v>229</v>
      </c>
      <c r="B21" s="17">
        <v>0.08</v>
      </c>
      <c r="C21" s="17">
        <v>0.18</v>
      </c>
      <c r="D21" s="17">
        <v>0.2</v>
      </c>
      <c r="E21" s="48">
        <v>0.36</v>
      </c>
      <c r="F21" s="49">
        <v>0.12</v>
      </c>
      <c r="G21" s="52" t="s">
        <v>1200</v>
      </c>
    </row>
    <row r="22" spans="1:7">
      <c r="A22" s="47" t="s">
        <v>232</v>
      </c>
      <c r="B22" s="17">
        <v>0.1</v>
      </c>
      <c r="C22" s="17">
        <v>0.12</v>
      </c>
      <c r="D22" s="17">
        <v>0.13</v>
      </c>
      <c r="E22" s="48">
        <v>0.30399999999999999</v>
      </c>
      <c r="F22" s="49">
        <v>0.03</v>
      </c>
      <c r="G22" s="52" t="s">
        <v>1201</v>
      </c>
    </row>
    <row r="23" spans="1:7">
      <c r="A23" s="47" t="s">
        <v>235</v>
      </c>
      <c r="B23" s="17">
        <v>0.05</v>
      </c>
      <c r="C23" s="17">
        <v>0.06</v>
      </c>
      <c r="D23" s="17">
        <v>7.0000000000000007E-2</v>
      </c>
      <c r="E23" s="48">
        <v>0.25600000000000001</v>
      </c>
      <c r="F23" s="49">
        <v>0.02</v>
      </c>
      <c r="G23" s="52" t="s">
        <v>1202</v>
      </c>
    </row>
    <row r="26" spans="1:7">
      <c r="A26" s="51" t="s">
        <v>1203</v>
      </c>
    </row>
    <row r="27" spans="1:7">
      <c r="A27" s="71" t="s">
        <v>1204</v>
      </c>
      <c r="B27" s="71" t="s">
        <v>1205</v>
      </c>
      <c r="C27" s="71" t="s">
        <v>1206</v>
      </c>
      <c r="D27" s="71" t="s">
        <v>1207</v>
      </c>
      <c r="E27" s="71" t="s">
        <v>1208</v>
      </c>
    </row>
    <row r="28" spans="1:7">
      <c r="A28" s="47" t="s">
        <v>1209</v>
      </c>
      <c r="B28" s="50">
        <v>0.44215551217619381</v>
      </c>
      <c r="C28" s="50">
        <v>0.53615503115763652</v>
      </c>
      <c r="D28" s="79">
        <v>0.55930494118691332</v>
      </c>
      <c r="E28" s="50">
        <v>0.71605339574330373</v>
      </c>
    </row>
    <row r="29" spans="1:7">
      <c r="A29" s="47" t="s">
        <v>1210</v>
      </c>
      <c r="B29" s="50">
        <v>0.26529330730571649</v>
      </c>
      <c r="C29" s="50">
        <v>0.29488526713670082</v>
      </c>
      <c r="D29" s="79">
        <v>0.29502505867886841</v>
      </c>
      <c r="E29" s="50">
        <v>0.32222402808448619</v>
      </c>
    </row>
    <row r="30" spans="1:7">
      <c r="A30" s="47" t="s">
        <v>1211</v>
      </c>
      <c r="B30" s="54">
        <v>9.8158523703115108</v>
      </c>
      <c r="C30" s="54">
        <v>10.91075488405793</v>
      </c>
      <c r="D30" s="80">
        <v>10.915927171118129</v>
      </c>
      <c r="E30" s="54">
        <v>11.922289039125991</v>
      </c>
    </row>
    <row r="31" spans="1:7">
      <c r="A31" s="47" t="s">
        <v>1212</v>
      </c>
      <c r="B31" s="54">
        <v>9.0863037340200101</v>
      </c>
      <c r="C31" s="54">
        <v>10.099829245990019</v>
      </c>
      <c r="D31" s="80">
        <v>10.104617110503</v>
      </c>
      <c r="E31" s="54">
        <v>11.036182628614499</v>
      </c>
    </row>
    <row r="32" spans="1:7">
      <c r="A32" s="47" t="s">
        <v>1213</v>
      </c>
      <c r="B32" s="54">
        <v>15.506457751245421</v>
      </c>
      <c r="C32" s="54">
        <v>17.267245421982889</v>
      </c>
      <c r="D32" s="80">
        <v>17.103645342797989</v>
      </c>
      <c r="E32" s="54">
        <v>18.607040785150051</v>
      </c>
    </row>
    <row r="33" spans="1:5">
      <c r="A33" s="47" t="s">
        <v>1214</v>
      </c>
      <c r="B33" s="54">
        <v>14.353963329023999</v>
      </c>
      <c r="C33" s="54">
        <v>15.983883073520991</v>
      </c>
      <c r="D33" s="80">
        <v>15.832442327032201</v>
      </c>
      <c r="E33" s="54">
        <v>17.224100137908462</v>
      </c>
    </row>
    <row r="36" spans="1:5">
      <c r="A36" s="51" t="s">
        <v>1215</v>
      </c>
    </row>
    <row r="37" spans="1:5">
      <c r="A37" s="46" t="s">
        <v>1216</v>
      </c>
    </row>
    <row r="38" spans="1:5">
      <c r="A38" s="57" t="s">
        <v>1217</v>
      </c>
    </row>
    <row r="40" spans="1:5">
      <c r="A40" s="71" t="s">
        <v>1218</v>
      </c>
      <c r="B40" s="71" t="s">
        <v>1219</v>
      </c>
      <c r="C40" s="71" t="s">
        <v>1220</v>
      </c>
    </row>
    <row r="41" spans="1:5">
      <c r="A41" s="47" t="s">
        <v>703</v>
      </c>
      <c r="B41" s="81">
        <v>0.48</v>
      </c>
      <c r="C41" s="52" t="s">
        <v>1221</v>
      </c>
    </row>
    <row r="42" spans="1:5">
      <c r="A42" s="47" t="s">
        <v>635</v>
      </c>
      <c r="B42" s="81">
        <v>0.5</v>
      </c>
      <c r="C42" s="52" t="s">
        <v>1222</v>
      </c>
    </row>
    <row r="43" spans="1:5">
      <c r="A43" s="47" t="s">
        <v>481</v>
      </c>
      <c r="B43" s="81">
        <v>0.5</v>
      </c>
      <c r="C43" s="52" t="s">
        <v>1222</v>
      </c>
    </row>
    <row r="44" spans="1:5">
      <c r="A44" s="47" t="s">
        <v>871</v>
      </c>
      <c r="B44" s="81">
        <v>0.6</v>
      </c>
      <c r="C44" s="52" t="s">
        <v>1223</v>
      </c>
    </row>
    <row r="45" spans="1:5">
      <c r="A45" s="47" t="s">
        <v>925</v>
      </c>
      <c r="B45" s="81">
        <v>0.57999999999999996</v>
      </c>
      <c r="C45" s="52" t="s">
        <v>1224</v>
      </c>
    </row>
    <row r="46" spans="1:5">
      <c r="A46" s="47" t="s">
        <v>264</v>
      </c>
      <c r="B46" s="81">
        <v>0.5</v>
      </c>
      <c r="C46" s="52" t="s">
        <v>1222</v>
      </c>
    </row>
    <row r="47" spans="1:5">
      <c r="A47" s="47" t="s">
        <v>606</v>
      </c>
      <c r="B47" s="81">
        <v>0.5</v>
      </c>
      <c r="C47" s="52" t="s">
        <v>1222</v>
      </c>
    </row>
    <row r="48" spans="1:5">
      <c r="A48" s="47" t="s">
        <v>960</v>
      </c>
      <c r="B48" s="81">
        <v>0.48</v>
      </c>
      <c r="C48" s="52" t="s">
        <v>1221</v>
      </c>
    </row>
    <row r="49" spans="1:3">
      <c r="A49" s="47" t="s">
        <v>1060</v>
      </c>
      <c r="B49" s="81">
        <v>0.55000000000000004</v>
      </c>
      <c r="C49" s="52" t="s">
        <v>1225</v>
      </c>
    </row>
    <row r="50" spans="1:3">
      <c r="A50" s="47" t="s">
        <v>1043</v>
      </c>
      <c r="B50" s="81">
        <v>0.6</v>
      </c>
      <c r="C50" s="52" t="s">
        <v>1223</v>
      </c>
    </row>
    <row r="51" spans="1:3">
      <c r="A51" s="47" t="s">
        <v>568</v>
      </c>
      <c r="B51" s="81">
        <v>0.55000000000000004</v>
      </c>
      <c r="C51" s="52" t="s">
        <v>1225</v>
      </c>
    </row>
    <row r="52" spans="1:3">
      <c r="A52" s="47" t="s">
        <v>405</v>
      </c>
      <c r="B52" s="81">
        <v>0.55000000000000004</v>
      </c>
      <c r="C52" s="52" t="s">
        <v>1225</v>
      </c>
    </row>
    <row r="53" spans="1:3">
      <c r="A53" s="47" t="s">
        <v>902</v>
      </c>
      <c r="B53" s="81">
        <v>0.55000000000000004</v>
      </c>
      <c r="C53" s="52" t="s">
        <v>1225</v>
      </c>
    </row>
    <row r="54" spans="1:3">
      <c r="A54" s="47" t="s">
        <v>303</v>
      </c>
      <c r="B54" s="81">
        <v>0.55000000000000004</v>
      </c>
      <c r="C54" s="52" t="s">
        <v>1225</v>
      </c>
    </row>
    <row r="55" spans="1:3">
      <c r="A55" s="47" t="s">
        <v>973</v>
      </c>
      <c r="B55" s="81">
        <v>0.6</v>
      </c>
      <c r="C55" s="52" t="s">
        <v>1223</v>
      </c>
    </row>
    <row r="56" spans="1:3">
      <c r="A56" s="47" t="s">
        <v>595</v>
      </c>
      <c r="B56" s="81">
        <v>0.55000000000000004</v>
      </c>
      <c r="C56" s="52" t="s">
        <v>1225</v>
      </c>
    </row>
    <row r="57" spans="1:3">
      <c r="A57" s="47" t="s">
        <v>930</v>
      </c>
      <c r="B57" s="81">
        <v>0.52</v>
      </c>
      <c r="C57" s="52" t="s">
        <v>1226</v>
      </c>
    </row>
    <row r="58" spans="1:3">
      <c r="A58" s="47" t="s">
        <v>543</v>
      </c>
      <c r="B58" s="81">
        <v>0.5</v>
      </c>
      <c r="C58" s="52" t="s">
        <v>1222</v>
      </c>
    </row>
    <row r="59" spans="1:3">
      <c r="A59" s="47" t="s">
        <v>348</v>
      </c>
      <c r="B59" s="81">
        <v>0.5</v>
      </c>
      <c r="C59" s="52" t="s">
        <v>1222</v>
      </c>
    </row>
    <row r="60" spans="1:3">
      <c r="A60" s="47" t="s">
        <v>744</v>
      </c>
      <c r="B60" s="81">
        <v>0.48</v>
      </c>
      <c r="C60" s="52" t="s">
        <v>1221</v>
      </c>
    </row>
    <row r="61" spans="1:3">
      <c r="A61" s="47" t="s">
        <v>759</v>
      </c>
      <c r="B61" s="81">
        <v>0.6</v>
      </c>
      <c r="C61" s="52" t="s">
        <v>1223</v>
      </c>
    </row>
    <row r="62" spans="1:3">
      <c r="A62" s="47" t="s">
        <v>811</v>
      </c>
      <c r="B62" s="81">
        <v>0.6</v>
      </c>
      <c r="C62" s="52" t="s">
        <v>1223</v>
      </c>
    </row>
    <row r="63" spans="1:3">
      <c r="A63" s="47" t="s">
        <v>770</v>
      </c>
      <c r="B63" s="81">
        <v>0.57999999999999996</v>
      </c>
      <c r="C63" s="52" t="s">
        <v>1224</v>
      </c>
    </row>
    <row r="64" spans="1:3">
      <c r="A64" s="47" t="s">
        <v>458</v>
      </c>
      <c r="B64" s="81">
        <v>0.57999999999999996</v>
      </c>
      <c r="C64" s="52" t="s">
        <v>1224</v>
      </c>
    </row>
    <row r="65" spans="1:3">
      <c r="A65" s="47" t="s">
        <v>836</v>
      </c>
      <c r="B65" s="81">
        <v>0.57999999999999996</v>
      </c>
      <c r="C65" s="52" t="s">
        <v>1224</v>
      </c>
    </row>
    <row r="66" spans="1:3">
      <c r="A66" s="47" t="s">
        <v>1026</v>
      </c>
      <c r="B66" s="81">
        <v>0.6</v>
      </c>
      <c r="C66" s="52" t="s">
        <v>1223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15"/>
  <sheetViews>
    <sheetView workbookViewId="0"/>
  </sheetViews>
  <sheetFormatPr defaultRowHeight="14.25"/>
  <cols>
    <col min="1" max="1" width="8" customWidth="1"/>
    <col min="2" max="2" width="35" customWidth="1"/>
    <col min="3" max="3" width="25" customWidth="1"/>
    <col min="4" max="4" width="10" customWidth="1"/>
    <col min="5" max="5" width="9" customWidth="1"/>
    <col min="6" max="11" width="10" customWidth="1"/>
  </cols>
  <sheetData>
    <row r="1" spans="1:11" ht="16.899999999999999">
      <c r="A1" s="90" t="s">
        <v>1227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3" spans="1:11" ht="24">
      <c r="A3" s="71" t="s">
        <v>1228</v>
      </c>
      <c r="B3" s="71" t="s">
        <v>1229</v>
      </c>
      <c r="C3" s="71" t="s">
        <v>1230</v>
      </c>
      <c r="D3" s="71" t="s">
        <v>1231</v>
      </c>
      <c r="E3" s="71" t="s">
        <v>1219</v>
      </c>
      <c r="F3" s="71" t="s">
        <v>1232</v>
      </c>
      <c r="G3" s="71" t="s">
        <v>1233</v>
      </c>
      <c r="H3" s="71" t="s">
        <v>1234</v>
      </c>
      <c r="I3" s="71" t="s">
        <v>1235</v>
      </c>
      <c r="J3" s="71" t="s">
        <v>1236</v>
      </c>
      <c r="K3" s="71" t="s">
        <v>1237</v>
      </c>
    </row>
    <row r="4" spans="1:11">
      <c r="A4" s="47" t="s">
        <v>399</v>
      </c>
      <c r="B4" s="47" t="s">
        <v>400</v>
      </c>
      <c r="C4" s="52" t="s">
        <v>348</v>
      </c>
      <c r="D4" s="55">
        <v>75214</v>
      </c>
      <c r="E4" s="81">
        <v>0.5</v>
      </c>
      <c r="F4" s="50">
        <v>0.82499999999999996</v>
      </c>
      <c r="G4" s="50">
        <v>0.41249999999999998</v>
      </c>
      <c r="H4" s="54">
        <v>15.262499999999999</v>
      </c>
      <c r="I4" s="72">
        <v>2.5</v>
      </c>
      <c r="J4" s="54">
        <v>22.893750000000001</v>
      </c>
      <c r="K4" s="76">
        <v>38.15625</v>
      </c>
    </row>
    <row r="5" spans="1:11">
      <c r="A5" s="47" t="s">
        <v>401</v>
      </c>
      <c r="B5" s="47" t="s">
        <v>402</v>
      </c>
      <c r="C5" s="52" t="s">
        <v>348</v>
      </c>
      <c r="D5" s="55">
        <v>75214</v>
      </c>
      <c r="E5" s="81">
        <v>0.5</v>
      </c>
      <c r="F5" s="50">
        <v>0.81530000000000002</v>
      </c>
      <c r="G5" s="50">
        <v>0.40765000000000001</v>
      </c>
      <c r="H5" s="54">
        <v>15.08305</v>
      </c>
      <c r="I5" s="72">
        <v>2.5</v>
      </c>
      <c r="J5" s="54">
        <v>22.624575</v>
      </c>
      <c r="K5" s="76">
        <v>37.707625</v>
      </c>
    </row>
    <row r="6" spans="1:11">
      <c r="A6" s="47" t="s">
        <v>346</v>
      </c>
      <c r="B6" s="47" t="s">
        <v>347</v>
      </c>
      <c r="C6" s="52" t="s">
        <v>348</v>
      </c>
      <c r="D6" s="55">
        <v>75214</v>
      </c>
      <c r="E6" s="81">
        <v>0.5</v>
      </c>
      <c r="F6" s="50">
        <v>0.79159999999999997</v>
      </c>
      <c r="G6" s="50">
        <v>0.39579999999999999</v>
      </c>
      <c r="H6" s="54">
        <v>14.644600000000001</v>
      </c>
      <c r="I6" s="72">
        <v>2.5</v>
      </c>
      <c r="J6" s="54">
        <v>21.966899999999999</v>
      </c>
      <c r="K6" s="76">
        <v>36.611499999999999</v>
      </c>
    </row>
    <row r="7" spans="1:11">
      <c r="A7" s="47" t="s">
        <v>349</v>
      </c>
      <c r="B7" s="47" t="s">
        <v>350</v>
      </c>
      <c r="C7" s="52" t="s">
        <v>348</v>
      </c>
      <c r="D7" s="55">
        <v>75214</v>
      </c>
      <c r="E7" s="81">
        <v>0.5</v>
      </c>
      <c r="F7" s="50">
        <v>0.79159999999999997</v>
      </c>
      <c r="G7" s="50">
        <v>0.39579999999999999</v>
      </c>
      <c r="H7" s="54">
        <v>14.644600000000001</v>
      </c>
      <c r="I7" s="72">
        <v>2.5</v>
      </c>
      <c r="J7" s="54">
        <v>21.966899999999999</v>
      </c>
      <c r="K7" s="76">
        <v>36.611499999999999</v>
      </c>
    </row>
    <row r="8" spans="1:11">
      <c r="A8" s="47" t="s">
        <v>353</v>
      </c>
      <c r="B8" s="47" t="s">
        <v>354</v>
      </c>
      <c r="C8" s="52" t="s">
        <v>348</v>
      </c>
      <c r="D8" s="55">
        <v>75214</v>
      </c>
      <c r="E8" s="81">
        <v>0.5</v>
      </c>
      <c r="F8" s="50">
        <v>0.79159999999999997</v>
      </c>
      <c r="G8" s="50">
        <v>0.39579999999999999</v>
      </c>
      <c r="H8" s="54">
        <v>14.644600000000001</v>
      </c>
      <c r="I8" s="72">
        <v>2.5</v>
      </c>
      <c r="J8" s="54">
        <v>21.966899999999999</v>
      </c>
      <c r="K8" s="76">
        <v>36.611499999999999</v>
      </c>
    </row>
    <row r="9" spans="1:11">
      <c r="A9" s="47" t="s">
        <v>351</v>
      </c>
      <c r="B9" s="47" t="s">
        <v>352</v>
      </c>
      <c r="C9" s="52" t="s">
        <v>348</v>
      </c>
      <c r="D9" s="55">
        <v>75214</v>
      </c>
      <c r="E9" s="81">
        <v>0.5</v>
      </c>
      <c r="F9" s="50">
        <v>0.78709999999999991</v>
      </c>
      <c r="G9" s="50">
        <v>0.39355000000000001</v>
      </c>
      <c r="H9" s="54">
        <v>14.561349999999999</v>
      </c>
      <c r="I9" s="72">
        <v>2.5</v>
      </c>
      <c r="J9" s="54">
        <v>21.842025</v>
      </c>
      <c r="K9" s="76">
        <v>36.403374999999997</v>
      </c>
    </row>
    <row r="10" spans="1:11">
      <c r="A10" s="47" t="s">
        <v>357</v>
      </c>
      <c r="B10" s="47" t="s">
        <v>358</v>
      </c>
      <c r="C10" s="52" t="s">
        <v>348</v>
      </c>
      <c r="D10" s="55">
        <v>75214</v>
      </c>
      <c r="E10" s="81">
        <v>0.5</v>
      </c>
      <c r="F10" s="50">
        <v>0.78439999999999999</v>
      </c>
      <c r="G10" s="50">
        <v>0.39219999999999999</v>
      </c>
      <c r="H10" s="54">
        <v>14.5114</v>
      </c>
      <c r="I10" s="72">
        <v>2.5</v>
      </c>
      <c r="J10" s="54">
        <v>21.767099999999999</v>
      </c>
      <c r="K10" s="76">
        <v>36.278500000000001</v>
      </c>
    </row>
    <row r="11" spans="1:11">
      <c r="A11" s="47" t="s">
        <v>383</v>
      </c>
      <c r="B11" s="47" t="s">
        <v>384</v>
      </c>
      <c r="C11" s="52" t="s">
        <v>348</v>
      </c>
      <c r="D11" s="55">
        <v>75214</v>
      </c>
      <c r="E11" s="81">
        <v>0.5</v>
      </c>
      <c r="F11" s="50">
        <v>0.77749999999999997</v>
      </c>
      <c r="G11" s="50">
        <v>0.38874999999999998</v>
      </c>
      <c r="H11" s="54">
        <v>14.383749999999999</v>
      </c>
      <c r="I11" s="72">
        <v>2.5</v>
      </c>
      <c r="J11" s="54">
        <v>21.575624999999999</v>
      </c>
      <c r="K11" s="76">
        <v>35.959374999999987</v>
      </c>
    </row>
    <row r="12" spans="1:11">
      <c r="A12" s="47" t="s">
        <v>391</v>
      </c>
      <c r="B12" s="47" t="s">
        <v>392</v>
      </c>
      <c r="C12" s="52" t="s">
        <v>348</v>
      </c>
      <c r="D12" s="55">
        <v>75214</v>
      </c>
      <c r="E12" s="81">
        <v>0.5</v>
      </c>
      <c r="F12" s="50">
        <v>0.76900000000000002</v>
      </c>
      <c r="G12" s="50">
        <v>0.38450000000000001</v>
      </c>
      <c r="H12" s="54">
        <v>14.2265</v>
      </c>
      <c r="I12" s="72">
        <v>2.5</v>
      </c>
      <c r="J12" s="54">
        <v>21.339749999999999</v>
      </c>
      <c r="K12" s="76">
        <v>35.566249999999997</v>
      </c>
    </row>
    <row r="13" spans="1:11">
      <c r="A13" s="47" t="s">
        <v>359</v>
      </c>
      <c r="B13" s="47" t="s">
        <v>360</v>
      </c>
      <c r="C13" s="52" t="s">
        <v>348</v>
      </c>
      <c r="D13" s="55">
        <v>75214</v>
      </c>
      <c r="E13" s="81">
        <v>0.5</v>
      </c>
      <c r="F13" s="50">
        <v>0.76890000000000003</v>
      </c>
      <c r="G13" s="50">
        <v>0.38445000000000001</v>
      </c>
      <c r="H13" s="54">
        <v>14.22465</v>
      </c>
      <c r="I13" s="72">
        <v>2.5</v>
      </c>
      <c r="J13" s="54">
        <v>21.336974999999999</v>
      </c>
      <c r="K13" s="76">
        <v>35.561624999999999</v>
      </c>
    </row>
    <row r="14" spans="1:11">
      <c r="A14" s="47" t="s">
        <v>379</v>
      </c>
      <c r="B14" s="47" t="s">
        <v>380</v>
      </c>
      <c r="C14" s="52" t="s">
        <v>348</v>
      </c>
      <c r="D14" s="55">
        <v>75214</v>
      </c>
      <c r="E14" s="81">
        <v>0.5</v>
      </c>
      <c r="F14" s="50">
        <v>0.76879999999999993</v>
      </c>
      <c r="G14" s="50">
        <v>0.38440000000000002</v>
      </c>
      <c r="H14" s="54">
        <v>14.222799999999999</v>
      </c>
      <c r="I14" s="72">
        <v>2.5</v>
      </c>
      <c r="J14" s="54">
        <v>21.334199999999999</v>
      </c>
      <c r="K14" s="76">
        <v>35.557000000000002</v>
      </c>
    </row>
    <row r="15" spans="1:11">
      <c r="A15" s="47" t="s">
        <v>385</v>
      </c>
      <c r="B15" s="47" t="s">
        <v>386</v>
      </c>
      <c r="C15" s="52" t="s">
        <v>348</v>
      </c>
      <c r="D15" s="55">
        <v>75214</v>
      </c>
      <c r="E15" s="81">
        <v>0.5</v>
      </c>
      <c r="F15" s="50">
        <v>0.76829999999999998</v>
      </c>
      <c r="G15" s="50">
        <v>0.38414999999999999</v>
      </c>
      <c r="H15" s="54">
        <v>14.21355</v>
      </c>
      <c r="I15" s="72">
        <v>2.5</v>
      </c>
      <c r="J15" s="54">
        <v>21.320325</v>
      </c>
      <c r="K15" s="76">
        <v>35.533875000000002</v>
      </c>
    </row>
    <row r="16" spans="1:11">
      <c r="A16" s="47" t="s">
        <v>367</v>
      </c>
      <c r="B16" s="47" t="s">
        <v>368</v>
      </c>
      <c r="C16" s="52" t="s">
        <v>348</v>
      </c>
      <c r="D16" s="55">
        <v>75214</v>
      </c>
      <c r="E16" s="81">
        <v>0.5</v>
      </c>
      <c r="F16" s="50">
        <v>0.76580000000000004</v>
      </c>
      <c r="G16" s="50">
        <v>0.38290000000000002</v>
      </c>
      <c r="H16" s="54">
        <v>14.167299999999999</v>
      </c>
      <c r="I16" s="72">
        <v>2.5</v>
      </c>
      <c r="J16" s="54">
        <v>21.25095</v>
      </c>
      <c r="K16" s="76">
        <v>35.41825</v>
      </c>
    </row>
    <row r="17" spans="1:11">
      <c r="A17" s="47" t="s">
        <v>381</v>
      </c>
      <c r="B17" s="47" t="s">
        <v>382</v>
      </c>
      <c r="C17" s="52" t="s">
        <v>348</v>
      </c>
      <c r="D17" s="55">
        <v>75214</v>
      </c>
      <c r="E17" s="81">
        <v>0.5</v>
      </c>
      <c r="F17" s="50">
        <v>0.76340000000000008</v>
      </c>
      <c r="G17" s="50">
        <v>0.38169999999999998</v>
      </c>
      <c r="H17" s="54">
        <v>14.1229</v>
      </c>
      <c r="I17" s="72">
        <v>2.5</v>
      </c>
      <c r="J17" s="54">
        <v>21.184349999999998</v>
      </c>
      <c r="K17" s="76">
        <v>35.307250000000003</v>
      </c>
    </row>
    <row r="18" spans="1:11">
      <c r="A18" s="47" t="s">
        <v>361</v>
      </c>
      <c r="B18" s="47" t="s">
        <v>362</v>
      </c>
      <c r="C18" s="52" t="s">
        <v>348</v>
      </c>
      <c r="D18" s="55">
        <v>75214</v>
      </c>
      <c r="E18" s="81">
        <v>0.5</v>
      </c>
      <c r="F18" s="50">
        <v>0.76280000000000003</v>
      </c>
      <c r="G18" s="50">
        <v>0.38140000000000002</v>
      </c>
      <c r="H18" s="54">
        <v>14.111800000000001</v>
      </c>
      <c r="I18" s="72">
        <v>2.5</v>
      </c>
      <c r="J18" s="54">
        <v>21.1677</v>
      </c>
      <c r="K18" s="76">
        <v>35.279499999999999</v>
      </c>
    </row>
    <row r="19" spans="1:11">
      <c r="A19" s="47" t="s">
        <v>363</v>
      </c>
      <c r="B19" s="47" t="s">
        <v>364</v>
      </c>
      <c r="C19" s="52" t="s">
        <v>348</v>
      </c>
      <c r="D19" s="55">
        <v>75214</v>
      </c>
      <c r="E19" s="81">
        <v>0.5</v>
      </c>
      <c r="F19" s="50">
        <v>0.76280000000000003</v>
      </c>
      <c r="G19" s="50">
        <v>0.38140000000000002</v>
      </c>
      <c r="H19" s="54">
        <v>14.111800000000001</v>
      </c>
      <c r="I19" s="72">
        <v>2.5</v>
      </c>
      <c r="J19" s="54">
        <v>21.1677</v>
      </c>
      <c r="K19" s="76">
        <v>35.279499999999999</v>
      </c>
    </row>
    <row r="20" spans="1:11">
      <c r="A20" s="47" t="s">
        <v>369</v>
      </c>
      <c r="B20" s="47" t="s">
        <v>370</v>
      </c>
      <c r="C20" s="52" t="s">
        <v>348</v>
      </c>
      <c r="D20" s="55">
        <v>75214</v>
      </c>
      <c r="E20" s="81">
        <v>0.5</v>
      </c>
      <c r="F20" s="50">
        <v>0.76280000000000003</v>
      </c>
      <c r="G20" s="50">
        <v>0.38140000000000002</v>
      </c>
      <c r="H20" s="54">
        <v>14.111800000000001</v>
      </c>
      <c r="I20" s="72">
        <v>2.5</v>
      </c>
      <c r="J20" s="54">
        <v>21.1677</v>
      </c>
      <c r="K20" s="76">
        <v>35.279499999999999</v>
      </c>
    </row>
    <row r="21" spans="1:11">
      <c r="A21" s="47" t="s">
        <v>365</v>
      </c>
      <c r="B21" s="47" t="s">
        <v>366</v>
      </c>
      <c r="C21" s="52" t="s">
        <v>348</v>
      </c>
      <c r="D21" s="55">
        <v>75214</v>
      </c>
      <c r="E21" s="81">
        <v>0.5</v>
      </c>
      <c r="F21" s="50">
        <v>0.76080000000000003</v>
      </c>
      <c r="G21" s="50">
        <v>0.38040000000000002</v>
      </c>
      <c r="H21" s="54">
        <v>14.0748</v>
      </c>
      <c r="I21" s="72">
        <v>2.5</v>
      </c>
      <c r="J21" s="54">
        <v>21.112200000000001</v>
      </c>
      <c r="K21" s="76">
        <v>35.186999999999998</v>
      </c>
    </row>
    <row r="22" spans="1:11">
      <c r="A22" s="47" t="s">
        <v>355</v>
      </c>
      <c r="B22" s="47" t="s">
        <v>356</v>
      </c>
      <c r="C22" s="52" t="s">
        <v>348</v>
      </c>
      <c r="D22" s="55">
        <v>75214</v>
      </c>
      <c r="E22" s="81">
        <v>0.5</v>
      </c>
      <c r="F22" s="50">
        <v>0.75269999999999992</v>
      </c>
      <c r="G22" s="50">
        <v>0.37635000000000002</v>
      </c>
      <c r="H22" s="54">
        <v>13.924950000000001</v>
      </c>
      <c r="I22" s="72">
        <v>2.5</v>
      </c>
      <c r="J22" s="54">
        <v>20.887425</v>
      </c>
      <c r="K22" s="76">
        <v>34.812375000000003</v>
      </c>
    </row>
    <row r="23" spans="1:11">
      <c r="A23" s="47" t="s">
        <v>397</v>
      </c>
      <c r="B23" s="47" t="s">
        <v>398</v>
      </c>
      <c r="C23" s="52" t="s">
        <v>348</v>
      </c>
      <c r="D23" s="55">
        <v>75214</v>
      </c>
      <c r="E23" s="81">
        <v>0.5</v>
      </c>
      <c r="F23" s="50">
        <v>0.75249999999999995</v>
      </c>
      <c r="G23" s="50">
        <v>0.37624999999999997</v>
      </c>
      <c r="H23" s="54">
        <v>13.921250000000001</v>
      </c>
      <c r="I23" s="72">
        <v>2.5</v>
      </c>
      <c r="J23" s="54">
        <v>20.881875000000001</v>
      </c>
      <c r="K23" s="76">
        <v>34.803124999999987</v>
      </c>
    </row>
    <row r="24" spans="1:11">
      <c r="A24" s="47" t="s">
        <v>389</v>
      </c>
      <c r="B24" s="47" t="s">
        <v>390</v>
      </c>
      <c r="C24" s="52" t="s">
        <v>348</v>
      </c>
      <c r="D24" s="55">
        <v>75214</v>
      </c>
      <c r="E24" s="81">
        <v>0.5</v>
      </c>
      <c r="F24" s="50">
        <v>0.75120000000000009</v>
      </c>
      <c r="G24" s="50">
        <v>0.37559999999999999</v>
      </c>
      <c r="H24" s="54">
        <v>13.8972</v>
      </c>
      <c r="I24" s="72">
        <v>2.5</v>
      </c>
      <c r="J24" s="54">
        <v>20.845800000000001</v>
      </c>
      <c r="K24" s="76">
        <v>34.743000000000002</v>
      </c>
    </row>
    <row r="25" spans="1:11">
      <c r="A25" s="47" t="s">
        <v>373</v>
      </c>
      <c r="B25" s="47" t="s">
        <v>374</v>
      </c>
      <c r="C25" s="52" t="s">
        <v>348</v>
      </c>
      <c r="D25" s="55">
        <v>75214</v>
      </c>
      <c r="E25" s="81">
        <v>0.5</v>
      </c>
      <c r="F25" s="50">
        <v>0.74609999999999999</v>
      </c>
      <c r="G25" s="50">
        <v>0.37304999999999999</v>
      </c>
      <c r="H25" s="54">
        <v>13.802849999999999</v>
      </c>
      <c r="I25" s="72">
        <v>2.5</v>
      </c>
      <c r="J25" s="54">
        <v>20.704274999999999</v>
      </c>
      <c r="K25" s="76">
        <v>34.507125000000002</v>
      </c>
    </row>
    <row r="26" spans="1:11">
      <c r="A26" s="47" t="s">
        <v>393</v>
      </c>
      <c r="B26" s="47" t="s">
        <v>394</v>
      </c>
      <c r="C26" s="52" t="s">
        <v>348</v>
      </c>
      <c r="D26" s="55">
        <v>75214</v>
      </c>
      <c r="E26" s="81">
        <v>0.5</v>
      </c>
      <c r="F26" s="50">
        <v>0.73730000000000007</v>
      </c>
      <c r="G26" s="50">
        <v>0.36864999999999998</v>
      </c>
      <c r="H26" s="54">
        <v>13.64005</v>
      </c>
      <c r="I26" s="72">
        <v>2.5</v>
      </c>
      <c r="J26" s="54">
        <v>20.460075</v>
      </c>
      <c r="K26" s="76">
        <v>34.100124999999998</v>
      </c>
    </row>
    <row r="27" spans="1:11">
      <c r="A27" s="47" t="s">
        <v>371</v>
      </c>
      <c r="B27" s="47" t="s">
        <v>372</v>
      </c>
      <c r="C27" s="52" t="s">
        <v>348</v>
      </c>
      <c r="D27" s="55">
        <v>75214</v>
      </c>
      <c r="E27" s="81">
        <v>0.5</v>
      </c>
      <c r="F27" s="50">
        <v>0.72030000000000005</v>
      </c>
      <c r="G27" s="50">
        <v>0.36015000000000003</v>
      </c>
      <c r="H27" s="54">
        <v>13.32555</v>
      </c>
      <c r="I27" s="72">
        <v>2.5</v>
      </c>
      <c r="J27" s="54">
        <v>19.988325</v>
      </c>
      <c r="K27" s="76">
        <v>33.313875000000003</v>
      </c>
    </row>
    <row r="28" spans="1:11">
      <c r="A28" s="47" t="s">
        <v>395</v>
      </c>
      <c r="B28" s="47" t="s">
        <v>396</v>
      </c>
      <c r="C28" s="52" t="s">
        <v>348</v>
      </c>
      <c r="D28" s="55">
        <v>75214</v>
      </c>
      <c r="E28" s="81">
        <v>0.5</v>
      </c>
      <c r="F28" s="50">
        <v>0.71719999999999995</v>
      </c>
      <c r="G28" s="50">
        <v>0.35859999999999997</v>
      </c>
      <c r="H28" s="54">
        <v>13.2682</v>
      </c>
      <c r="I28" s="72">
        <v>2.5</v>
      </c>
      <c r="J28" s="54">
        <v>19.9023</v>
      </c>
      <c r="K28" s="76">
        <v>33.170499999999997</v>
      </c>
    </row>
    <row r="29" spans="1:11">
      <c r="A29" s="47" t="s">
        <v>375</v>
      </c>
      <c r="B29" s="47" t="s">
        <v>376</v>
      </c>
      <c r="C29" s="52" t="s">
        <v>348</v>
      </c>
      <c r="D29" s="55">
        <v>75214</v>
      </c>
      <c r="E29" s="81">
        <v>0.5</v>
      </c>
      <c r="F29" s="50">
        <v>0.71429999999999993</v>
      </c>
      <c r="G29" s="50">
        <v>0.35715000000000002</v>
      </c>
      <c r="H29" s="54">
        <v>13.214549999999999</v>
      </c>
      <c r="I29" s="72">
        <v>2.5</v>
      </c>
      <c r="J29" s="54">
        <v>19.821825</v>
      </c>
      <c r="K29" s="76">
        <v>33.036375</v>
      </c>
    </row>
    <row r="30" spans="1:11">
      <c r="A30" s="47" t="s">
        <v>387</v>
      </c>
      <c r="B30" s="47" t="s">
        <v>388</v>
      </c>
      <c r="C30" s="52" t="s">
        <v>348</v>
      </c>
      <c r="D30" s="55">
        <v>75214</v>
      </c>
      <c r="E30" s="81">
        <v>0.5</v>
      </c>
      <c r="F30" s="50">
        <v>0.71050000000000002</v>
      </c>
      <c r="G30" s="50">
        <v>0.35525000000000001</v>
      </c>
      <c r="H30" s="54">
        <v>13.14425</v>
      </c>
      <c r="I30" s="72">
        <v>2.5</v>
      </c>
      <c r="J30" s="54">
        <v>19.716374999999999</v>
      </c>
      <c r="K30" s="76">
        <v>32.860624999999999</v>
      </c>
    </row>
    <row r="31" spans="1:11">
      <c r="A31" s="47" t="s">
        <v>377</v>
      </c>
      <c r="B31" s="47" t="s">
        <v>378</v>
      </c>
      <c r="C31" s="52" t="s">
        <v>348</v>
      </c>
      <c r="D31" s="55">
        <v>75214</v>
      </c>
      <c r="E31" s="81">
        <v>0.5</v>
      </c>
      <c r="F31" s="50">
        <v>0.68669999999999998</v>
      </c>
      <c r="G31" s="50">
        <v>0.34334999999999999</v>
      </c>
      <c r="H31" s="54">
        <v>12.703950000000001</v>
      </c>
      <c r="I31" s="72">
        <v>2.5</v>
      </c>
      <c r="J31" s="54">
        <v>19.055924999999998</v>
      </c>
      <c r="K31" s="76">
        <v>31.759875000000001</v>
      </c>
    </row>
    <row r="32" spans="1:11">
      <c r="A32" s="47" t="s">
        <v>607</v>
      </c>
      <c r="B32" s="47" t="s">
        <v>608</v>
      </c>
      <c r="C32" s="52" t="s">
        <v>606</v>
      </c>
      <c r="D32" s="55">
        <v>40786</v>
      </c>
      <c r="E32" s="81">
        <v>0.5</v>
      </c>
      <c r="F32" s="50">
        <v>0.79400000000000004</v>
      </c>
      <c r="G32" s="50">
        <v>0.39700000000000002</v>
      </c>
      <c r="H32" s="54">
        <v>14.689</v>
      </c>
      <c r="I32" s="72">
        <v>2</v>
      </c>
      <c r="J32" s="54">
        <v>14.689</v>
      </c>
      <c r="K32" s="76">
        <v>29.378</v>
      </c>
    </row>
    <row r="33" spans="1:11">
      <c r="A33" s="47" t="s">
        <v>502</v>
      </c>
      <c r="B33" s="47" t="s">
        <v>503</v>
      </c>
      <c r="C33" s="52" t="s">
        <v>481</v>
      </c>
      <c r="D33" s="55">
        <v>77065</v>
      </c>
      <c r="E33" s="81">
        <v>0.5</v>
      </c>
      <c r="F33" s="50">
        <v>0.78239999999999998</v>
      </c>
      <c r="G33" s="50">
        <v>0.39119999999999999</v>
      </c>
      <c r="H33" s="54">
        <v>14.474399999999999</v>
      </c>
      <c r="I33" s="72">
        <v>2</v>
      </c>
      <c r="J33" s="54">
        <v>14.474399999999999</v>
      </c>
      <c r="K33" s="76">
        <v>28.948799999999999</v>
      </c>
    </row>
    <row r="34" spans="1:11">
      <c r="A34" s="47" t="s">
        <v>488</v>
      </c>
      <c r="B34" s="47" t="s">
        <v>489</v>
      </c>
      <c r="C34" s="52" t="s">
        <v>481</v>
      </c>
      <c r="D34" s="55">
        <v>77065</v>
      </c>
      <c r="E34" s="81">
        <v>0.5</v>
      </c>
      <c r="F34" s="50">
        <v>0.77839999999999998</v>
      </c>
      <c r="G34" s="50">
        <v>0.38919999999999999</v>
      </c>
      <c r="H34" s="54">
        <v>14.400399999999999</v>
      </c>
      <c r="I34" s="72">
        <v>2</v>
      </c>
      <c r="J34" s="54">
        <v>14.400399999999999</v>
      </c>
      <c r="K34" s="76">
        <v>28.800799999999999</v>
      </c>
    </row>
    <row r="35" spans="1:11">
      <c r="A35" s="47" t="s">
        <v>490</v>
      </c>
      <c r="B35" s="47" t="s">
        <v>491</v>
      </c>
      <c r="C35" s="52" t="s">
        <v>481</v>
      </c>
      <c r="D35" s="55">
        <v>77065</v>
      </c>
      <c r="E35" s="81">
        <v>0.5</v>
      </c>
      <c r="F35" s="50">
        <v>0.77670000000000006</v>
      </c>
      <c r="G35" s="50">
        <v>0.38834999999999997</v>
      </c>
      <c r="H35" s="54">
        <v>14.36895</v>
      </c>
      <c r="I35" s="72">
        <v>2</v>
      </c>
      <c r="J35" s="54">
        <v>14.36895</v>
      </c>
      <c r="K35" s="76">
        <v>28.7379</v>
      </c>
    </row>
    <row r="36" spans="1:11">
      <c r="A36" s="47" t="s">
        <v>513</v>
      </c>
      <c r="B36" s="47" t="s">
        <v>514</v>
      </c>
      <c r="C36" s="52" t="s">
        <v>481</v>
      </c>
      <c r="D36" s="55">
        <v>77065</v>
      </c>
      <c r="E36" s="81">
        <v>0.5</v>
      </c>
      <c r="F36" s="50">
        <v>0.75879999999999992</v>
      </c>
      <c r="G36" s="50">
        <v>0.37940000000000002</v>
      </c>
      <c r="H36" s="54">
        <v>14.037800000000001</v>
      </c>
      <c r="I36" s="72">
        <v>2</v>
      </c>
      <c r="J36" s="54">
        <v>14.037800000000001</v>
      </c>
      <c r="K36" s="76">
        <v>28.075600000000001</v>
      </c>
    </row>
    <row r="37" spans="1:11">
      <c r="A37" s="47" t="s">
        <v>482</v>
      </c>
      <c r="B37" s="47" t="s">
        <v>483</v>
      </c>
      <c r="C37" s="52" t="s">
        <v>481</v>
      </c>
      <c r="D37" s="55">
        <v>77065</v>
      </c>
      <c r="E37" s="81">
        <v>0.5</v>
      </c>
      <c r="F37" s="50">
        <v>0.75670000000000004</v>
      </c>
      <c r="G37" s="50">
        <v>0.37835000000000002</v>
      </c>
      <c r="H37" s="54">
        <v>13.998950000000001</v>
      </c>
      <c r="I37" s="72">
        <v>2</v>
      </c>
      <c r="J37" s="54">
        <v>13.998950000000001</v>
      </c>
      <c r="K37" s="76">
        <v>27.997900000000001</v>
      </c>
    </row>
    <row r="38" spans="1:11">
      <c r="A38" s="47" t="s">
        <v>492</v>
      </c>
      <c r="B38" s="47" t="s">
        <v>493</v>
      </c>
      <c r="C38" s="52" t="s">
        <v>481</v>
      </c>
      <c r="D38" s="55">
        <v>77065</v>
      </c>
      <c r="E38" s="81">
        <v>0.5</v>
      </c>
      <c r="F38" s="50">
        <v>0.75439999999999996</v>
      </c>
      <c r="G38" s="50">
        <v>0.37719999999999998</v>
      </c>
      <c r="H38" s="54">
        <v>13.9564</v>
      </c>
      <c r="I38" s="72">
        <v>2</v>
      </c>
      <c r="J38" s="54">
        <v>13.9564</v>
      </c>
      <c r="K38" s="76">
        <v>27.912800000000001</v>
      </c>
    </row>
    <row r="39" spans="1:11">
      <c r="A39" s="47" t="s">
        <v>509</v>
      </c>
      <c r="B39" s="47" t="s">
        <v>510</v>
      </c>
      <c r="C39" s="52" t="s">
        <v>481</v>
      </c>
      <c r="D39" s="55">
        <v>77065</v>
      </c>
      <c r="E39" s="81">
        <v>0.5</v>
      </c>
      <c r="F39" s="50">
        <v>0.754</v>
      </c>
      <c r="G39" s="50">
        <v>0.377</v>
      </c>
      <c r="H39" s="54">
        <v>13.949</v>
      </c>
      <c r="I39" s="72">
        <v>2</v>
      </c>
      <c r="J39" s="54">
        <v>13.949</v>
      </c>
      <c r="K39" s="76">
        <v>27.898</v>
      </c>
    </row>
    <row r="40" spans="1:11">
      <c r="A40" s="47" t="s">
        <v>531</v>
      </c>
      <c r="B40" s="47" t="s">
        <v>532</v>
      </c>
      <c r="C40" s="52" t="s">
        <v>481</v>
      </c>
      <c r="D40" s="55">
        <v>77065</v>
      </c>
      <c r="E40" s="81">
        <v>0.5</v>
      </c>
      <c r="F40" s="50">
        <v>0.75120000000000009</v>
      </c>
      <c r="G40" s="50">
        <v>0.37559999999999999</v>
      </c>
      <c r="H40" s="54">
        <v>13.8972</v>
      </c>
      <c r="I40" s="72">
        <v>2</v>
      </c>
      <c r="J40" s="54">
        <v>13.8972</v>
      </c>
      <c r="K40" s="76">
        <v>27.7944</v>
      </c>
    </row>
    <row r="41" spans="1:11">
      <c r="A41" s="47" t="s">
        <v>479</v>
      </c>
      <c r="B41" s="47" t="s">
        <v>480</v>
      </c>
      <c r="C41" s="52" t="s">
        <v>481</v>
      </c>
      <c r="D41" s="55">
        <v>77065</v>
      </c>
      <c r="E41" s="81">
        <v>0.5</v>
      </c>
      <c r="F41" s="50">
        <v>0.74959999999999993</v>
      </c>
      <c r="G41" s="50">
        <v>0.37480000000000002</v>
      </c>
      <c r="H41" s="54">
        <v>13.867599999999999</v>
      </c>
      <c r="I41" s="72">
        <v>2</v>
      </c>
      <c r="J41" s="54">
        <v>13.867599999999999</v>
      </c>
      <c r="K41" s="76">
        <v>27.735199999999999</v>
      </c>
    </row>
    <row r="42" spans="1:11">
      <c r="A42" s="47" t="s">
        <v>486</v>
      </c>
      <c r="B42" s="47" t="s">
        <v>487</v>
      </c>
      <c r="C42" s="52" t="s">
        <v>481</v>
      </c>
      <c r="D42" s="55">
        <v>77065</v>
      </c>
      <c r="E42" s="81">
        <v>0.5</v>
      </c>
      <c r="F42" s="50">
        <v>0.746</v>
      </c>
      <c r="G42" s="50">
        <v>0.373</v>
      </c>
      <c r="H42" s="54">
        <v>13.801</v>
      </c>
      <c r="I42" s="72">
        <v>2</v>
      </c>
      <c r="J42" s="54">
        <v>13.801</v>
      </c>
      <c r="K42" s="76">
        <v>27.602</v>
      </c>
    </row>
    <row r="43" spans="1:11">
      <c r="A43" s="47" t="s">
        <v>484</v>
      </c>
      <c r="B43" s="47" t="s">
        <v>485</v>
      </c>
      <c r="C43" s="52" t="s">
        <v>481</v>
      </c>
      <c r="D43" s="55">
        <v>77065</v>
      </c>
      <c r="E43" s="81">
        <v>0.5</v>
      </c>
      <c r="F43" s="50">
        <v>0.74519999999999997</v>
      </c>
      <c r="G43" s="50">
        <v>0.37259999999999999</v>
      </c>
      <c r="H43" s="54">
        <v>13.786199999999999</v>
      </c>
      <c r="I43" s="72">
        <v>2</v>
      </c>
      <c r="J43" s="54">
        <v>13.786199999999999</v>
      </c>
      <c r="K43" s="76">
        <v>27.572399999999998</v>
      </c>
    </row>
    <row r="44" spans="1:11">
      <c r="A44" s="47" t="s">
        <v>564</v>
      </c>
      <c r="B44" s="47" t="s">
        <v>565</v>
      </c>
      <c r="C44" s="52" t="s">
        <v>543</v>
      </c>
      <c r="D44" s="55">
        <v>57000</v>
      </c>
      <c r="E44" s="81">
        <v>0.5</v>
      </c>
      <c r="F44" s="50">
        <v>0.73870000000000002</v>
      </c>
      <c r="G44" s="50">
        <v>0.36935000000000001</v>
      </c>
      <c r="H44" s="54">
        <v>13.66595</v>
      </c>
      <c r="I44" s="72">
        <v>2</v>
      </c>
      <c r="J44" s="54">
        <v>13.66595</v>
      </c>
      <c r="K44" s="76">
        <v>27.331900000000001</v>
      </c>
    </row>
    <row r="45" spans="1:11">
      <c r="A45" s="47" t="s">
        <v>562</v>
      </c>
      <c r="B45" s="47" t="s">
        <v>563</v>
      </c>
      <c r="C45" s="52" t="s">
        <v>543</v>
      </c>
      <c r="D45" s="55">
        <v>57000</v>
      </c>
      <c r="E45" s="81">
        <v>0.5</v>
      </c>
      <c r="F45" s="50">
        <v>0.72519999999999996</v>
      </c>
      <c r="G45" s="50">
        <v>0.36259999999999998</v>
      </c>
      <c r="H45" s="54">
        <v>13.4162</v>
      </c>
      <c r="I45" s="72">
        <v>2</v>
      </c>
      <c r="J45" s="54">
        <v>13.4162</v>
      </c>
      <c r="K45" s="76">
        <v>26.8324</v>
      </c>
    </row>
    <row r="46" spans="1:11">
      <c r="A46" s="47" t="s">
        <v>664</v>
      </c>
      <c r="B46" s="47" t="s">
        <v>665</v>
      </c>
      <c r="C46" s="52" t="s">
        <v>635</v>
      </c>
      <c r="D46" s="55">
        <v>64618</v>
      </c>
      <c r="E46" s="81">
        <v>0.5</v>
      </c>
      <c r="F46" s="50">
        <v>0.80349999999999999</v>
      </c>
      <c r="G46" s="50">
        <v>0.40175</v>
      </c>
      <c r="H46" s="54">
        <v>14.864750000000001</v>
      </c>
      <c r="I46" s="65">
        <v>1.8</v>
      </c>
      <c r="J46" s="54">
        <v>11.8918</v>
      </c>
      <c r="K46" s="76">
        <v>26.756550000000001</v>
      </c>
    </row>
    <row r="47" spans="1:11">
      <c r="A47" s="47" t="s">
        <v>511</v>
      </c>
      <c r="B47" s="47" t="s">
        <v>512</v>
      </c>
      <c r="C47" s="52" t="s">
        <v>481</v>
      </c>
      <c r="D47" s="55">
        <v>77065</v>
      </c>
      <c r="E47" s="81">
        <v>0.5</v>
      </c>
      <c r="F47" s="50">
        <v>0.71920000000000006</v>
      </c>
      <c r="G47" s="50">
        <v>0.35959999999999998</v>
      </c>
      <c r="H47" s="54">
        <v>13.305199999999999</v>
      </c>
      <c r="I47" s="72">
        <v>2</v>
      </c>
      <c r="J47" s="54">
        <v>13.305199999999999</v>
      </c>
      <c r="K47" s="76">
        <v>26.610399999999998</v>
      </c>
    </row>
    <row r="48" spans="1:11">
      <c r="A48" s="47" t="s">
        <v>496</v>
      </c>
      <c r="B48" s="47" t="s">
        <v>497</v>
      </c>
      <c r="C48" s="52" t="s">
        <v>481</v>
      </c>
      <c r="D48" s="55">
        <v>77065</v>
      </c>
      <c r="E48" s="81">
        <v>0.5</v>
      </c>
      <c r="F48" s="50">
        <v>0.71260000000000001</v>
      </c>
      <c r="G48" s="50">
        <v>0.35630000000000001</v>
      </c>
      <c r="H48" s="54">
        <v>13.1831</v>
      </c>
      <c r="I48" s="72">
        <v>2</v>
      </c>
      <c r="J48" s="54">
        <v>13.1831</v>
      </c>
      <c r="K48" s="76">
        <v>26.366199999999999</v>
      </c>
    </row>
    <row r="49" spans="1:11">
      <c r="A49" s="47" t="s">
        <v>500</v>
      </c>
      <c r="B49" s="47" t="s">
        <v>501</v>
      </c>
      <c r="C49" s="52" t="s">
        <v>481</v>
      </c>
      <c r="D49" s="55">
        <v>77065</v>
      </c>
      <c r="E49" s="81">
        <v>0.5</v>
      </c>
      <c r="F49" s="50">
        <v>0.70950000000000002</v>
      </c>
      <c r="G49" s="50">
        <v>0.35475000000000001</v>
      </c>
      <c r="H49" s="54">
        <v>13.12575</v>
      </c>
      <c r="I49" s="72">
        <v>2</v>
      </c>
      <c r="J49" s="54">
        <v>13.12575</v>
      </c>
      <c r="K49" s="76">
        <v>26.2515</v>
      </c>
    </row>
    <row r="50" spans="1:11">
      <c r="A50" s="47" t="s">
        <v>448</v>
      </c>
      <c r="B50" s="47" t="s">
        <v>449</v>
      </c>
      <c r="C50" s="52" t="s">
        <v>405</v>
      </c>
      <c r="D50" s="55">
        <v>71038</v>
      </c>
      <c r="E50" s="81">
        <v>0.55000000000000004</v>
      </c>
      <c r="F50" s="50">
        <v>0.71499999999999997</v>
      </c>
      <c r="G50" s="50">
        <v>0.39324999999999999</v>
      </c>
      <c r="H50" s="54">
        <v>14.55025</v>
      </c>
      <c r="I50" s="65">
        <v>1.8</v>
      </c>
      <c r="J50" s="54">
        <v>11.6402</v>
      </c>
      <c r="K50" s="76">
        <v>26.190449999999998</v>
      </c>
    </row>
    <row r="51" spans="1:11">
      <c r="A51" s="47" t="s">
        <v>539</v>
      </c>
      <c r="B51" s="47" t="s">
        <v>540</v>
      </c>
      <c r="C51" s="52" t="s">
        <v>481</v>
      </c>
      <c r="D51" s="55">
        <v>77065</v>
      </c>
      <c r="E51" s="81">
        <v>0.5</v>
      </c>
      <c r="F51" s="50">
        <v>0.70760000000000001</v>
      </c>
      <c r="G51" s="50">
        <v>0.3538</v>
      </c>
      <c r="H51" s="54">
        <v>13.0906</v>
      </c>
      <c r="I51" s="72">
        <v>2</v>
      </c>
      <c r="J51" s="54">
        <v>13.0906</v>
      </c>
      <c r="K51" s="76">
        <v>26.1812</v>
      </c>
    </row>
    <row r="52" spans="1:11">
      <c r="A52" s="47" t="s">
        <v>560</v>
      </c>
      <c r="B52" s="47" t="s">
        <v>561</v>
      </c>
      <c r="C52" s="52" t="s">
        <v>543</v>
      </c>
      <c r="D52" s="55">
        <v>57000</v>
      </c>
      <c r="E52" s="81">
        <v>0.5</v>
      </c>
      <c r="F52" s="50">
        <v>0.70640000000000003</v>
      </c>
      <c r="G52" s="50">
        <v>0.35320000000000001</v>
      </c>
      <c r="H52" s="54">
        <v>13.0684</v>
      </c>
      <c r="I52" s="72">
        <v>2</v>
      </c>
      <c r="J52" s="54">
        <v>13.0684</v>
      </c>
      <c r="K52" s="76">
        <v>26.136800000000001</v>
      </c>
    </row>
    <row r="53" spans="1:11">
      <c r="A53" s="47" t="s">
        <v>418</v>
      </c>
      <c r="B53" s="47" t="s">
        <v>419</v>
      </c>
      <c r="C53" s="52" t="s">
        <v>405</v>
      </c>
      <c r="D53" s="55">
        <v>71038</v>
      </c>
      <c r="E53" s="81">
        <v>0.55000000000000004</v>
      </c>
      <c r="F53" s="50">
        <v>0.7127</v>
      </c>
      <c r="G53" s="50">
        <v>0.39198499999999997</v>
      </c>
      <c r="H53" s="54">
        <v>14.503444999999999</v>
      </c>
      <c r="I53" s="65">
        <v>1.8</v>
      </c>
      <c r="J53" s="54">
        <v>11.602755999999999</v>
      </c>
      <c r="K53" s="76">
        <v>26.106200999999999</v>
      </c>
    </row>
    <row r="54" spans="1:11">
      <c r="A54" s="47" t="s">
        <v>515</v>
      </c>
      <c r="B54" s="47" t="s">
        <v>516</v>
      </c>
      <c r="C54" s="52" t="s">
        <v>481</v>
      </c>
      <c r="D54" s="55">
        <v>77065</v>
      </c>
      <c r="E54" s="81">
        <v>0.5</v>
      </c>
      <c r="F54" s="50">
        <v>0.70540000000000003</v>
      </c>
      <c r="G54" s="50">
        <v>0.35270000000000001</v>
      </c>
      <c r="H54" s="54">
        <v>13.049899999999999</v>
      </c>
      <c r="I54" s="72">
        <v>2</v>
      </c>
      <c r="J54" s="54">
        <v>13.049899999999999</v>
      </c>
      <c r="K54" s="76">
        <v>26.099799999999998</v>
      </c>
    </row>
    <row r="55" spans="1:11">
      <c r="A55" s="47" t="s">
        <v>619</v>
      </c>
      <c r="B55" s="47" t="s">
        <v>620</v>
      </c>
      <c r="C55" s="52" t="s">
        <v>606</v>
      </c>
      <c r="D55" s="55">
        <v>40786</v>
      </c>
      <c r="E55" s="81">
        <v>0.5</v>
      </c>
      <c r="F55" s="50">
        <v>0.70540000000000003</v>
      </c>
      <c r="G55" s="50">
        <v>0.35270000000000001</v>
      </c>
      <c r="H55" s="54">
        <v>13.049899999999999</v>
      </c>
      <c r="I55" s="72">
        <v>2</v>
      </c>
      <c r="J55" s="54">
        <v>13.049899999999999</v>
      </c>
      <c r="K55" s="76">
        <v>26.099799999999998</v>
      </c>
    </row>
    <row r="56" spans="1:11">
      <c r="A56" s="47" t="s">
        <v>450</v>
      </c>
      <c r="B56" s="47" t="s">
        <v>451</v>
      </c>
      <c r="C56" s="52" t="s">
        <v>405</v>
      </c>
      <c r="D56" s="55">
        <v>71038</v>
      </c>
      <c r="E56" s="81">
        <v>0.55000000000000004</v>
      </c>
      <c r="F56" s="50">
        <v>0.71239999999999992</v>
      </c>
      <c r="G56" s="50">
        <v>0.39182</v>
      </c>
      <c r="H56" s="54">
        <v>14.497339999999999</v>
      </c>
      <c r="I56" s="65">
        <v>1.8</v>
      </c>
      <c r="J56" s="54">
        <v>11.597872000000001</v>
      </c>
      <c r="K56" s="76">
        <v>26.095212</v>
      </c>
    </row>
    <row r="57" spans="1:11">
      <c r="A57" s="47" t="s">
        <v>420</v>
      </c>
      <c r="B57" s="47" t="s">
        <v>421</v>
      </c>
      <c r="C57" s="52" t="s">
        <v>405</v>
      </c>
      <c r="D57" s="55">
        <v>71038</v>
      </c>
      <c r="E57" s="81">
        <v>0.55000000000000004</v>
      </c>
      <c r="F57" s="50">
        <v>0.71160000000000001</v>
      </c>
      <c r="G57" s="50">
        <v>0.39138000000000012</v>
      </c>
      <c r="H57" s="54">
        <v>14.481059999999999</v>
      </c>
      <c r="I57" s="65">
        <v>1.8</v>
      </c>
      <c r="J57" s="54">
        <v>11.584847999999999</v>
      </c>
      <c r="K57" s="76">
        <v>26.065908000000011</v>
      </c>
    </row>
    <row r="58" spans="1:11">
      <c r="A58" s="47" t="s">
        <v>506</v>
      </c>
      <c r="B58" s="47" t="s">
        <v>507</v>
      </c>
      <c r="C58" s="52" t="s">
        <v>481</v>
      </c>
      <c r="D58" s="55">
        <v>77065</v>
      </c>
      <c r="E58" s="81">
        <v>0.5</v>
      </c>
      <c r="F58" s="50">
        <v>0.70010000000000006</v>
      </c>
      <c r="G58" s="50">
        <v>0.35004999999999997</v>
      </c>
      <c r="H58" s="54">
        <v>12.95185</v>
      </c>
      <c r="I58" s="72">
        <v>2</v>
      </c>
      <c r="J58" s="54">
        <v>12.95185</v>
      </c>
      <c r="K58" s="76">
        <v>25.903700000000001</v>
      </c>
    </row>
    <row r="59" spans="1:11">
      <c r="A59" s="47" t="s">
        <v>535</v>
      </c>
      <c r="B59" s="47" t="s">
        <v>536</v>
      </c>
      <c r="C59" s="52" t="s">
        <v>481</v>
      </c>
      <c r="D59" s="55">
        <v>77065</v>
      </c>
      <c r="E59" s="81">
        <v>0.5</v>
      </c>
      <c r="F59" s="50">
        <v>0.69680000000000009</v>
      </c>
      <c r="G59" s="50">
        <v>0.34839999999999999</v>
      </c>
      <c r="H59" s="54">
        <v>12.8908</v>
      </c>
      <c r="I59" s="72">
        <v>2</v>
      </c>
      <c r="J59" s="54">
        <v>12.8908</v>
      </c>
      <c r="K59" s="76">
        <v>25.781600000000001</v>
      </c>
    </row>
    <row r="60" spans="1:11">
      <c r="A60" s="47" t="s">
        <v>494</v>
      </c>
      <c r="B60" s="47" t="s">
        <v>495</v>
      </c>
      <c r="C60" s="52" t="s">
        <v>481</v>
      </c>
      <c r="D60" s="55">
        <v>77065</v>
      </c>
      <c r="E60" s="81">
        <v>0.5</v>
      </c>
      <c r="F60" s="50">
        <v>0.69550000000000001</v>
      </c>
      <c r="G60" s="50">
        <v>0.34775</v>
      </c>
      <c r="H60" s="54">
        <v>12.86675</v>
      </c>
      <c r="I60" s="72">
        <v>2</v>
      </c>
      <c r="J60" s="54">
        <v>12.86675</v>
      </c>
      <c r="K60" s="76">
        <v>25.733499999999999</v>
      </c>
    </row>
    <row r="61" spans="1:11">
      <c r="A61" s="47" t="s">
        <v>508</v>
      </c>
      <c r="B61" s="47" t="s">
        <v>495</v>
      </c>
      <c r="C61" s="52" t="s">
        <v>481</v>
      </c>
      <c r="D61" s="55">
        <v>77065</v>
      </c>
      <c r="E61" s="81">
        <v>0.5</v>
      </c>
      <c r="F61" s="50">
        <v>0.69550000000000001</v>
      </c>
      <c r="G61" s="50">
        <v>0.34775</v>
      </c>
      <c r="H61" s="54">
        <v>12.86675</v>
      </c>
      <c r="I61" s="72">
        <v>2</v>
      </c>
      <c r="J61" s="54">
        <v>12.86675</v>
      </c>
      <c r="K61" s="76">
        <v>25.733499999999999</v>
      </c>
    </row>
    <row r="62" spans="1:11">
      <c r="A62" s="47" t="s">
        <v>498</v>
      </c>
      <c r="B62" s="47" t="s">
        <v>499</v>
      </c>
      <c r="C62" s="52" t="s">
        <v>481</v>
      </c>
      <c r="D62" s="55">
        <v>77065</v>
      </c>
      <c r="E62" s="81">
        <v>0.5</v>
      </c>
      <c r="F62" s="50">
        <v>0.69429999999999992</v>
      </c>
      <c r="G62" s="50">
        <v>0.34715000000000001</v>
      </c>
      <c r="H62" s="54">
        <v>12.84455</v>
      </c>
      <c r="I62" s="72">
        <v>2</v>
      </c>
      <c r="J62" s="54">
        <v>12.84455</v>
      </c>
      <c r="K62" s="76">
        <v>25.6891</v>
      </c>
    </row>
    <row r="63" spans="1:11">
      <c r="A63" s="47" t="s">
        <v>623</v>
      </c>
      <c r="B63" s="47" t="s">
        <v>624</v>
      </c>
      <c r="C63" s="52" t="s">
        <v>606</v>
      </c>
      <c r="D63" s="55">
        <v>40786</v>
      </c>
      <c r="E63" s="81">
        <v>0.5</v>
      </c>
      <c r="F63" s="50">
        <v>0.68540000000000001</v>
      </c>
      <c r="G63" s="50">
        <v>0.3427</v>
      </c>
      <c r="H63" s="54">
        <v>12.6799</v>
      </c>
      <c r="I63" s="72">
        <v>2</v>
      </c>
      <c r="J63" s="54">
        <v>12.6799</v>
      </c>
      <c r="K63" s="76">
        <v>25.3598</v>
      </c>
    </row>
    <row r="64" spans="1:11">
      <c r="A64" s="47" t="s">
        <v>550</v>
      </c>
      <c r="B64" s="47" t="s">
        <v>551</v>
      </c>
      <c r="C64" s="52" t="s">
        <v>543</v>
      </c>
      <c r="D64" s="55">
        <v>57000</v>
      </c>
      <c r="E64" s="81">
        <v>0.5</v>
      </c>
      <c r="F64" s="50">
        <v>0.68469999999999998</v>
      </c>
      <c r="G64" s="50">
        <v>0.34234999999999999</v>
      </c>
      <c r="H64" s="54">
        <v>12.66695</v>
      </c>
      <c r="I64" s="72">
        <v>2</v>
      </c>
      <c r="J64" s="54">
        <v>12.66695</v>
      </c>
      <c r="K64" s="76">
        <v>25.3339</v>
      </c>
    </row>
    <row r="65" spans="1:11">
      <c r="A65" s="47" t="s">
        <v>650</v>
      </c>
      <c r="B65" s="47" t="s">
        <v>651</v>
      </c>
      <c r="C65" s="52" t="s">
        <v>635</v>
      </c>
      <c r="D65" s="55">
        <v>64618</v>
      </c>
      <c r="E65" s="81">
        <v>0.5</v>
      </c>
      <c r="F65" s="50">
        <v>0.75829999999999997</v>
      </c>
      <c r="G65" s="50">
        <v>0.37914999999999999</v>
      </c>
      <c r="H65" s="54">
        <v>14.028549999999999</v>
      </c>
      <c r="I65" s="65">
        <v>1.8</v>
      </c>
      <c r="J65" s="54">
        <v>11.22284</v>
      </c>
      <c r="K65" s="76">
        <v>25.251390000000001</v>
      </c>
    </row>
    <row r="66" spans="1:11">
      <c r="A66" s="47" t="s">
        <v>537</v>
      </c>
      <c r="B66" s="47" t="s">
        <v>538</v>
      </c>
      <c r="C66" s="52" t="s">
        <v>481</v>
      </c>
      <c r="D66" s="55">
        <v>77065</v>
      </c>
      <c r="E66" s="81">
        <v>0.5</v>
      </c>
      <c r="F66" s="50">
        <v>0.68150000000000011</v>
      </c>
      <c r="G66" s="50">
        <v>0.34075000000000011</v>
      </c>
      <c r="H66" s="54">
        <v>12.607749999999999</v>
      </c>
      <c r="I66" s="72">
        <v>2</v>
      </c>
      <c r="J66" s="54">
        <v>12.607749999999999</v>
      </c>
      <c r="K66" s="76">
        <v>25.215499999999999</v>
      </c>
    </row>
    <row r="67" spans="1:11">
      <c r="A67" s="47" t="s">
        <v>556</v>
      </c>
      <c r="B67" s="47" t="s">
        <v>557</v>
      </c>
      <c r="C67" s="52" t="s">
        <v>543</v>
      </c>
      <c r="D67" s="55">
        <v>57000</v>
      </c>
      <c r="E67" s="81">
        <v>0.5</v>
      </c>
      <c r="F67" s="50">
        <v>0.67830000000000001</v>
      </c>
      <c r="G67" s="50">
        <v>0.33915000000000001</v>
      </c>
      <c r="H67" s="54">
        <v>12.548550000000001</v>
      </c>
      <c r="I67" s="72">
        <v>2</v>
      </c>
      <c r="J67" s="54">
        <v>12.548550000000001</v>
      </c>
      <c r="K67" s="76">
        <v>25.097100000000001</v>
      </c>
    </row>
    <row r="68" spans="1:11">
      <c r="A68" s="47" t="s">
        <v>504</v>
      </c>
      <c r="B68" s="47" t="s">
        <v>505</v>
      </c>
      <c r="C68" s="52" t="s">
        <v>481</v>
      </c>
      <c r="D68" s="55">
        <v>77065</v>
      </c>
      <c r="E68" s="81">
        <v>0.5</v>
      </c>
      <c r="F68" s="50">
        <v>0.6774</v>
      </c>
      <c r="G68" s="50">
        <v>0.3387</v>
      </c>
      <c r="H68" s="54">
        <v>12.5319</v>
      </c>
      <c r="I68" s="72">
        <v>2</v>
      </c>
      <c r="J68" s="54">
        <v>12.5319</v>
      </c>
      <c r="K68" s="76">
        <v>25.063800000000001</v>
      </c>
    </row>
    <row r="69" spans="1:11">
      <c r="A69" s="47" t="s">
        <v>604</v>
      </c>
      <c r="B69" s="47" t="s">
        <v>605</v>
      </c>
      <c r="C69" s="52" t="s">
        <v>606</v>
      </c>
      <c r="D69" s="55">
        <v>40786</v>
      </c>
      <c r="E69" s="81">
        <v>0.5</v>
      </c>
      <c r="F69" s="50">
        <v>0.67540000000000011</v>
      </c>
      <c r="G69" s="50">
        <v>0.33770000000000011</v>
      </c>
      <c r="H69" s="54">
        <v>12.494899999999999</v>
      </c>
      <c r="I69" s="72">
        <v>2</v>
      </c>
      <c r="J69" s="54">
        <v>12.494899999999999</v>
      </c>
      <c r="K69" s="76">
        <v>24.989799999999999</v>
      </c>
    </row>
    <row r="70" spans="1:11">
      <c r="A70" s="47" t="s">
        <v>621</v>
      </c>
      <c r="B70" s="47" t="s">
        <v>622</v>
      </c>
      <c r="C70" s="52" t="s">
        <v>606</v>
      </c>
      <c r="D70" s="55">
        <v>40786</v>
      </c>
      <c r="E70" s="81">
        <v>0.5</v>
      </c>
      <c r="F70" s="50">
        <v>0.67430000000000012</v>
      </c>
      <c r="G70" s="50">
        <v>0.33715000000000012</v>
      </c>
      <c r="H70" s="54">
        <v>12.474550000000001</v>
      </c>
      <c r="I70" s="72">
        <v>2</v>
      </c>
      <c r="J70" s="54">
        <v>12.474550000000001</v>
      </c>
      <c r="K70" s="76">
        <v>24.949100000000001</v>
      </c>
    </row>
    <row r="71" spans="1:11">
      <c r="A71" s="47" t="s">
        <v>406</v>
      </c>
      <c r="B71" s="47" t="s">
        <v>407</v>
      </c>
      <c r="C71" s="52" t="s">
        <v>405</v>
      </c>
      <c r="D71" s="55">
        <v>71038</v>
      </c>
      <c r="E71" s="81">
        <v>0.55000000000000004</v>
      </c>
      <c r="F71" s="50">
        <v>0.67969999999999997</v>
      </c>
      <c r="G71" s="50">
        <v>0.37383499999999997</v>
      </c>
      <c r="H71" s="54">
        <v>13.831894999999999</v>
      </c>
      <c r="I71" s="65">
        <v>1.8</v>
      </c>
      <c r="J71" s="54">
        <v>11.065516000000001</v>
      </c>
      <c r="K71" s="76">
        <v>24.897411000000002</v>
      </c>
    </row>
    <row r="72" spans="1:11">
      <c r="A72" s="47" t="s">
        <v>533</v>
      </c>
      <c r="B72" s="47" t="s">
        <v>534</v>
      </c>
      <c r="C72" s="52" t="s">
        <v>481</v>
      </c>
      <c r="D72" s="55">
        <v>77065</v>
      </c>
      <c r="E72" s="81">
        <v>0.5</v>
      </c>
      <c r="F72" s="50">
        <v>0.67099999999999993</v>
      </c>
      <c r="G72" s="50">
        <v>0.33550000000000002</v>
      </c>
      <c r="H72" s="54">
        <v>12.413500000000001</v>
      </c>
      <c r="I72" s="72">
        <v>2</v>
      </c>
      <c r="J72" s="54">
        <v>12.413500000000001</v>
      </c>
      <c r="K72" s="76">
        <v>24.827000000000002</v>
      </c>
    </row>
    <row r="73" spans="1:11">
      <c r="A73" s="47" t="s">
        <v>615</v>
      </c>
      <c r="B73" s="47" t="s">
        <v>616</v>
      </c>
      <c r="C73" s="52" t="s">
        <v>606</v>
      </c>
      <c r="D73" s="55">
        <v>40786</v>
      </c>
      <c r="E73" s="81">
        <v>0.5</v>
      </c>
      <c r="F73" s="50">
        <v>0.67059999999999997</v>
      </c>
      <c r="G73" s="50">
        <v>0.33529999999999999</v>
      </c>
      <c r="H73" s="54">
        <v>12.4061</v>
      </c>
      <c r="I73" s="72">
        <v>2</v>
      </c>
      <c r="J73" s="54">
        <v>12.4061</v>
      </c>
      <c r="K73" s="76">
        <v>24.812200000000001</v>
      </c>
    </row>
    <row r="74" spans="1:11">
      <c r="A74" s="47" t="s">
        <v>527</v>
      </c>
      <c r="B74" s="47" t="s">
        <v>528</v>
      </c>
      <c r="C74" s="52" t="s">
        <v>481</v>
      </c>
      <c r="D74" s="55">
        <v>77065</v>
      </c>
      <c r="E74" s="81">
        <v>0.5</v>
      </c>
      <c r="F74" s="50">
        <v>0.67040000000000011</v>
      </c>
      <c r="G74" s="50">
        <v>0.33520000000000011</v>
      </c>
      <c r="H74" s="54">
        <v>12.4024</v>
      </c>
      <c r="I74" s="72">
        <v>2</v>
      </c>
      <c r="J74" s="54">
        <v>12.4024</v>
      </c>
      <c r="K74" s="76">
        <v>24.8048</v>
      </c>
    </row>
    <row r="75" spans="1:11">
      <c r="A75" s="47" t="s">
        <v>642</v>
      </c>
      <c r="B75" s="47" t="s">
        <v>643</v>
      </c>
      <c r="C75" s="52" t="s">
        <v>635</v>
      </c>
      <c r="D75" s="55">
        <v>64618</v>
      </c>
      <c r="E75" s="81">
        <v>0.5</v>
      </c>
      <c r="F75" s="50">
        <v>0.74320000000000008</v>
      </c>
      <c r="G75" s="50">
        <v>0.37159999999999999</v>
      </c>
      <c r="H75" s="54">
        <v>13.7492</v>
      </c>
      <c r="I75" s="65">
        <v>1.8</v>
      </c>
      <c r="J75" s="54">
        <v>10.999359999999999</v>
      </c>
      <c r="K75" s="76">
        <v>24.748560000000001</v>
      </c>
    </row>
    <row r="76" spans="1:11">
      <c r="A76" s="47" t="s">
        <v>403</v>
      </c>
      <c r="B76" s="47" t="s">
        <v>404</v>
      </c>
      <c r="C76" s="52" t="s">
        <v>405</v>
      </c>
      <c r="D76" s="55">
        <v>71038</v>
      </c>
      <c r="E76" s="81">
        <v>0.55000000000000004</v>
      </c>
      <c r="F76" s="50">
        <v>0.67469999999999997</v>
      </c>
      <c r="G76" s="50">
        <v>0.371085</v>
      </c>
      <c r="H76" s="54">
        <v>13.730145</v>
      </c>
      <c r="I76" s="65">
        <v>1.8</v>
      </c>
      <c r="J76" s="54">
        <v>10.984116</v>
      </c>
      <c r="K76" s="76">
        <v>24.714261</v>
      </c>
    </row>
    <row r="77" spans="1:11">
      <c r="A77" s="47" t="s">
        <v>646</v>
      </c>
      <c r="B77" s="47" t="s">
        <v>647</v>
      </c>
      <c r="C77" s="52" t="s">
        <v>635</v>
      </c>
      <c r="D77" s="55">
        <v>64618</v>
      </c>
      <c r="E77" s="81">
        <v>0.5</v>
      </c>
      <c r="F77" s="50">
        <v>0.73170000000000002</v>
      </c>
      <c r="G77" s="50">
        <v>0.36585000000000001</v>
      </c>
      <c r="H77" s="54">
        <v>13.53645</v>
      </c>
      <c r="I77" s="65">
        <v>1.8</v>
      </c>
      <c r="J77" s="54">
        <v>10.82916</v>
      </c>
      <c r="K77" s="76">
        <v>24.36561</v>
      </c>
    </row>
    <row r="78" spans="1:11">
      <c r="A78" s="47" t="s">
        <v>283</v>
      </c>
      <c r="B78" s="47" t="s">
        <v>284</v>
      </c>
      <c r="C78" s="52" t="s">
        <v>264</v>
      </c>
      <c r="D78" s="55">
        <v>167737</v>
      </c>
      <c r="E78" s="81">
        <v>0.5</v>
      </c>
      <c r="F78" s="50">
        <v>0.73</v>
      </c>
      <c r="G78" s="50">
        <v>0.36499999999999999</v>
      </c>
      <c r="H78" s="54">
        <v>13.505000000000001</v>
      </c>
      <c r="I78" s="65">
        <v>1.8</v>
      </c>
      <c r="J78" s="54">
        <v>10.804</v>
      </c>
      <c r="K78" s="76">
        <v>24.309000000000001</v>
      </c>
    </row>
    <row r="79" spans="1:11">
      <c r="A79" s="47" t="s">
        <v>440</v>
      </c>
      <c r="B79" s="47" t="s">
        <v>441</v>
      </c>
      <c r="C79" s="52" t="s">
        <v>405</v>
      </c>
      <c r="D79" s="55">
        <v>71038</v>
      </c>
      <c r="E79" s="81">
        <v>0.55000000000000004</v>
      </c>
      <c r="F79" s="50">
        <v>0.66069999999999995</v>
      </c>
      <c r="G79" s="50">
        <v>0.36338500000000001</v>
      </c>
      <c r="H79" s="54">
        <v>13.445245</v>
      </c>
      <c r="I79" s="65">
        <v>1.8</v>
      </c>
      <c r="J79" s="54">
        <v>10.756195999999999</v>
      </c>
      <c r="K79" s="76">
        <v>24.201440999999999</v>
      </c>
    </row>
    <row r="80" spans="1:11">
      <c r="A80" s="47" t="s">
        <v>529</v>
      </c>
      <c r="B80" s="47" t="s">
        <v>530</v>
      </c>
      <c r="C80" s="52" t="s">
        <v>481</v>
      </c>
      <c r="D80" s="55">
        <v>77065</v>
      </c>
      <c r="E80" s="81">
        <v>0.5</v>
      </c>
      <c r="F80" s="50">
        <v>0.6512</v>
      </c>
      <c r="G80" s="50">
        <v>0.3256</v>
      </c>
      <c r="H80" s="54">
        <v>12.0472</v>
      </c>
      <c r="I80" s="72">
        <v>2</v>
      </c>
      <c r="J80" s="54">
        <v>12.0472</v>
      </c>
      <c r="K80" s="76">
        <v>24.0944</v>
      </c>
    </row>
    <row r="81" spans="1:11">
      <c r="A81" s="47" t="s">
        <v>456</v>
      </c>
      <c r="B81" s="47" t="s">
        <v>457</v>
      </c>
      <c r="C81" s="52" t="s">
        <v>458</v>
      </c>
      <c r="D81" s="55">
        <v>155636</v>
      </c>
      <c r="E81" s="81">
        <v>0.57999999999999996</v>
      </c>
      <c r="F81" s="50">
        <v>0.74680000000000002</v>
      </c>
      <c r="G81" s="50">
        <v>0.43314399999999997</v>
      </c>
      <c r="H81" s="54">
        <v>16.026327999999999</v>
      </c>
      <c r="I81" s="65">
        <v>1.5</v>
      </c>
      <c r="J81" s="54">
        <v>8.0131639999999997</v>
      </c>
      <c r="K81" s="76">
        <v>24.039491999999999</v>
      </c>
    </row>
    <row r="82" spans="1:11">
      <c r="A82" s="47" t="s">
        <v>654</v>
      </c>
      <c r="B82" s="47" t="s">
        <v>655</v>
      </c>
      <c r="C82" s="52" t="s">
        <v>635</v>
      </c>
      <c r="D82" s="55">
        <v>64618</v>
      </c>
      <c r="E82" s="81">
        <v>0.5</v>
      </c>
      <c r="F82" s="50">
        <v>0.71209999999999996</v>
      </c>
      <c r="G82" s="50">
        <v>0.35604999999999998</v>
      </c>
      <c r="H82" s="54">
        <v>13.17385</v>
      </c>
      <c r="I82" s="65">
        <v>1.8</v>
      </c>
      <c r="J82" s="54">
        <v>10.53908</v>
      </c>
      <c r="K82" s="76">
        <v>23.71293</v>
      </c>
    </row>
    <row r="83" spans="1:11">
      <c r="A83" s="47" t="s">
        <v>519</v>
      </c>
      <c r="B83" s="47" t="s">
        <v>520</v>
      </c>
      <c r="C83" s="52" t="s">
        <v>481</v>
      </c>
      <c r="D83" s="55">
        <v>77065</v>
      </c>
      <c r="E83" s="81">
        <v>0.5</v>
      </c>
      <c r="F83" s="50">
        <v>0.6401</v>
      </c>
      <c r="G83" s="50">
        <v>0.32005</v>
      </c>
      <c r="H83" s="54">
        <v>11.841850000000001</v>
      </c>
      <c r="I83" s="72">
        <v>2</v>
      </c>
      <c r="J83" s="54">
        <v>11.841850000000001</v>
      </c>
      <c r="K83" s="76">
        <v>23.683700000000002</v>
      </c>
    </row>
    <row r="84" spans="1:11">
      <c r="A84" s="47" t="s">
        <v>517</v>
      </c>
      <c r="B84" s="47" t="s">
        <v>518</v>
      </c>
      <c r="C84" s="52" t="s">
        <v>481</v>
      </c>
      <c r="D84" s="55">
        <v>77065</v>
      </c>
      <c r="E84" s="81">
        <v>0.5</v>
      </c>
      <c r="F84" s="50">
        <v>0.63819999999999999</v>
      </c>
      <c r="G84" s="50">
        <v>0.31909999999999999</v>
      </c>
      <c r="H84" s="54">
        <v>11.806699999999999</v>
      </c>
      <c r="I84" s="72">
        <v>2</v>
      </c>
      <c r="J84" s="54">
        <v>11.806699999999999</v>
      </c>
      <c r="K84" s="76">
        <v>23.613399999999999</v>
      </c>
    </row>
    <row r="85" spans="1:11">
      <c r="A85" s="47" t="s">
        <v>521</v>
      </c>
      <c r="B85" s="47" t="s">
        <v>522</v>
      </c>
      <c r="C85" s="52" t="s">
        <v>481</v>
      </c>
      <c r="D85" s="55">
        <v>77065</v>
      </c>
      <c r="E85" s="81">
        <v>0.5</v>
      </c>
      <c r="F85" s="50">
        <v>0.63749999999999996</v>
      </c>
      <c r="G85" s="50">
        <v>0.31874999999999998</v>
      </c>
      <c r="H85" s="54">
        <v>11.793749999999999</v>
      </c>
      <c r="I85" s="72">
        <v>2</v>
      </c>
      <c r="J85" s="54">
        <v>11.793749999999999</v>
      </c>
      <c r="K85" s="76">
        <v>23.587499999999999</v>
      </c>
    </row>
    <row r="86" spans="1:11">
      <c r="A86" s="47" t="s">
        <v>699</v>
      </c>
      <c r="B86" s="47" t="s">
        <v>700</v>
      </c>
      <c r="C86" s="52" t="s">
        <v>635</v>
      </c>
      <c r="D86" s="55">
        <v>64618</v>
      </c>
      <c r="E86" s="81">
        <v>0.5</v>
      </c>
      <c r="F86" s="50">
        <v>0.7057000000000001</v>
      </c>
      <c r="G86" s="50">
        <v>0.35285000000000011</v>
      </c>
      <c r="H86" s="54">
        <v>13.05545</v>
      </c>
      <c r="I86" s="65">
        <v>1.8</v>
      </c>
      <c r="J86" s="54">
        <v>10.44436</v>
      </c>
      <c r="K86" s="76">
        <v>23.49981</v>
      </c>
    </row>
    <row r="87" spans="1:11">
      <c r="A87" s="47" t="s">
        <v>666</v>
      </c>
      <c r="B87" s="47" t="s">
        <v>667</v>
      </c>
      <c r="C87" s="52" t="s">
        <v>635</v>
      </c>
      <c r="D87" s="55">
        <v>64618</v>
      </c>
      <c r="E87" s="81">
        <v>0.5</v>
      </c>
      <c r="F87" s="50">
        <v>0.70569999999999988</v>
      </c>
      <c r="G87" s="50">
        <v>0.35284999999999989</v>
      </c>
      <c r="H87" s="54">
        <v>13.05545</v>
      </c>
      <c r="I87" s="65">
        <v>1.8</v>
      </c>
      <c r="J87" s="54">
        <v>10.44436</v>
      </c>
      <c r="K87" s="76">
        <v>23.49981</v>
      </c>
    </row>
    <row r="88" spans="1:11">
      <c r="A88" s="47" t="s">
        <v>656</v>
      </c>
      <c r="B88" s="47" t="s">
        <v>657</v>
      </c>
      <c r="C88" s="52" t="s">
        <v>635</v>
      </c>
      <c r="D88" s="55">
        <v>64618</v>
      </c>
      <c r="E88" s="81">
        <v>0.5</v>
      </c>
      <c r="F88" s="50">
        <v>0.70489999999999997</v>
      </c>
      <c r="G88" s="50">
        <v>0.35244999999999999</v>
      </c>
      <c r="H88" s="54">
        <v>13.040649999999999</v>
      </c>
      <c r="I88" s="65">
        <v>1.8</v>
      </c>
      <c r="J88" s="54">
        <v>10.43252</v>
      </c>
      <c r="K88" s="76">
        <v>23.47317</v>
      </c>
    </row>
    <row r="89" spans="1:11">
      <c r="A89" s="47" t="s">
        <v>469</v>
      </c>
      <c r="B89" s="47" t="s">
        <v>470</v>
      </c>
      <c r="C89" s="52" t="s">
        <v>458</v>
      </c>
      <c r="D89" s="55">
        <v>155636</v>
      </c>
      <c r="E89" s="81">
        <v>0.57999999999999996</v>
      </c>
      <c r="F89" s="50">
        <v>0.7278</v>
      </c>
      <c r="G89" s="50">
        <v>0.422124</v>
      </c>
      <c r="H89" s="54">
        <v>15.618588000000001</v>
      </c>
      <c r="I89" s="65">
        <v>1.5</v>
      </c>
      <c r="J89" s="54">
        <v>7.8092940000000004</v>
      </c>
      <c r="K89" s="76">
        <v>23.427882</v>
      </c>
    </row>
    <row r="90" spans="1:11">
      <c r="A90" s="47" t="s">
        <v>525</v>
      </c>
      <c r="B90" s="47" t="s">
        <v>526</v>
      </c>
      <c r="C90" s="52" t="s">
        <v>481</v>
      </c>
      <c r="D90" s="55">
        <v>77065</v>
      </c>
      <c r="E90" s="81">
        <v>0.5</v>
      </c>
      <c r="F90" s="50">
        <v>0.63180000000000003</v>
      </c>
      <c r="G90" s="50">
        <v>0.31590000000000001</v>
      </c>
      <c r="H90" s="54">
        <v>11.6883</v>
      </c>
      <c r="I90" s="72">
        <v>2</v>
      </c>
      <c r="J90" s="54">
        <v>11.6883</v>
      </c>
      <c r="K90" s="76">
        <v>23.3766</v>
      </c>
    </row>
    <row r="91" spans="1:11">
      <c r="A91" s="47" t="s">
        <v>541</v>
      </c>
      <c r="B91" s="47" t="s">
        <v>542</v>
      </c>
      <c r="C91" s="52" t="s">
        <v>543</v>
      </c>
      <c r="D91" s="55">
        <v>57000</v>
      </c>
      <c r="E91" s="81">
        <v>0.5</v>
      </c>
      <c r="F91" s="50">
        <v>0.63080000000000003</v>
      </c>
      <c r="G91" s="50">
        <v>0.31540000000000001</v>
      </c>
      <c r="H91" s="54">
        <v>11.6698</v>
      </c>
      <c r="I91" s="72">
        <v>2</v>
      </c>
      <c r="J91" s="54">
        <v>11.6698</v>
      </c>
      <c r="K91" s="76">
        <v>23.339600000000001</v>
      </c>
    </row>
    <row r="92" spans="1:11">
      <c r="A92" s="47" t="s">
        <v>416</v>
      </c>
      <c r="B92" s="47" t="s">
        <v>417</v>
      </c>
      <c r="C92" s="52" t="s">
        <v>405</v>
      </c>
      <c r="D92" s="55">
        <v>71038</v>
      </c>
      <c r="E92" s="81">
        <v>0.55000000000000004</v>
      </c>
      <c r="F92" s="50">
        <v>0.63129999999999997</v>
      </c>
      <c r="G92" s="50">
        <v>0.347215</v>
      </c>
      <c r="H92" s="54">
        <v>12.846954999999999</v>
      </c>
      <c r="I92" s="65">
        <v>1.8</v>
      </c>
      <c r="J92" s="54">
        <v>10.277564</v>
      </c>
      <c r="K92" s="76">
        <v>23.124518999999999</v>
      </c>
    </row>
    <row r="93" spans="1:11">
      <c r="A93" s="47" t="s">
        <v>640</v>
      </c>
      <c r="B93" s="47" t="s">
        <v>641</v>
      </c>
      <c r="C93" s="52" t="s">
        <v>635</v>
      </c>
      <c r="D93" s="55">
        <v>64618</v>
      </c>
      <c r="E93" s="81">
        <v>0.5</v>
      </c>
      <c r="F93" s="50">
        <v>0.69389999999999996</v>
      </c>
      <c r="G93" s="50">
        <v>0.34694999999999998</v>
      </c>
      <c r="H93" s="54">
        <v>12.837149999999999</v>
      </c>
      <c r="I93" s="65">
        <v>1.8</v>
      </c>
      <c r="J93" s="54">
        <v>10.26972</v>
      </c>
      <c r="K93" s="76">
        <v>23.106870000000001</v>
      </c>
    </row>
    <row r="94" spans="1:11">
      <c r="A94" s="47" t="s">
        <v>648</v>
      </c>
      <c r="B94" s="47" t="s">
        <v>649</v>
      </c>
      <c r="C94" s="52" t="s">
        <v>635</v>
      </c>
      <c r="D94" s="55">
        <v>64618</v>
      </c>
      <c r="E94" s="81">
        <v>0.5</v>
      </c>
      <c r="F94" s="50">
        <v>0.69179999999999997</v>
      </c>
      <c r="G94" s="50">
        <v>0.34589999999999999</v>
      </c>
      <c r="H94" s="54">
        <v>12.798299999999999</v>
      </c>
      <c r="I94" s="65">
        <v>1.8</v>
      </c>
      <c r="J94" s="54">
        <v>10.23864</v>
      </c>
      <c r="K94" s="76">
        <v>23.036940000000001</v>
      </c>
    </row>
    <row r="95" spans="1:11">
      <c r="A95" s="47" t="s">
        <v>275</v>
      </c>
      <c r="B95" s="47" t="s">
        <v>276</v>
      </c>
      <c r="C95" s="52" t="s">
        <v>264</v>
      </c>
      <c r="D95" s="55">
        <v>167737</v>
      </c>
      <c r="E95" s="81">
        <v>0.5</v>
      </c>
      <c r="F95" s="50">
        <v>0.68870000000000009</v>
      </c>
      <c r="G95" s="50">
        <v>0.34434999999999999</v>
      </c>
      <c r="H95" s="54">
        <v>12.74095</v>
      </c>
      <c r="I95" s="65">
        <v>1.8</v>
      </c>
      <c r="J95" s="54">
        <v>10.19276</v>
      </c>
      <c r="K95" s="76">
        <v>22.933710000000001</v>
      </c>
    </row>
    <row r="96" spans="1:11">
      <c r="A96" s="47" t="s">
        <v>523</v>
      </c>
      <c r="B96" s="47" t="s">
        <v>524</v>
      </c>
      <c r="C96" s="52" t="s">
        <v>481</v>
      </c>
      <c r="D96" s="55">
        <v>77065</v>
      </c>
      <c r="E96" s="81">
        <v>0.5</v>
      </c>
      <c r="F96" s="50">
        <v>0.61890000000000001</v>
      </c>
      <c r="G96" s="50">
        <v>0.30945</v>
      </c>
      <c r="H96" s="54">
        <v>11.44965</v>
      </c>
      <c r="I96" s="72">
        <v>2</v>
      </c>
      <c r="J96" s="54">
        <v>11.44965</v>
      </c>
      <c r="K96" s="76">
        <v>22.8993</v>
      </c>
    </row>
    <row r="97" spans="1:11">
      <c r="A97" s="47" t="s">
        <v>552</v>
      </c>
      <c r="B97" s="47" t="s">
        <v>553</v>
      </c>
      <c r="C97" s="52" t="s">
        <v>543</v>
      </c>
      <c r="D97" s="55">
        <v>57000</v>
      </c>
      <c r="E97" s="81">
        <v>0.5</v>
      </c>
      <c r="F97" s="50">
        <v>0.61539999999999995</v>
      </c>
      <c r="G97" s="50">
        <v>0.30769999999999997</v>
      </c>
      <c r="H97" s="54">
        <v>11.3849</v>
      </c>
      <c r="I97" s="72">
        <v>2</v>
      </c>
      <c r="J97" s="54">
        <v>11.3849</v>
      </c>
      <c r="K97" s="76">
        <v>22.7698</v>
      </c>
    </row>
    <row r="98" spans="1:11">
      <c r="A98" s="47" t="s">
        <v>285</v>
      </c>
      <c r="B98" s="47" t="s">
        <v>286</v>
      </c>
      <c r="C98" s="52" t="s">
        <v>264</v>
      </c>
      <c r="D98" s="55">
        <v>167737</v>
      </c>
      <c r="E98" s="81">
        <v>0.5</v>
      </c>
      <c r="F98" s="50">
        <v>0.68370000000000009</v>
      </c>
      <c r="G98" s="50">
        <v>0.34184999999999999</v>
      </c>
      <c r="H98" s="54">
        <v>12.64845</v>
      </c>
      <c r="I98" s="65">
        <v>1.8</v>
      </c>
      <c r="J98" s="54">
        <v>10.11876</v>
      </c>
      <c r="K98" s="76">
        <v>22.767210000000009</v>
      </c>
    </row>
    <row r="99" spans="1:11">
      <c r="A99" s="47" t="s">
        <v>670</v>
      </c>
      <c r="B99" s="47" t="s">
        <v>671</v>
      </c>
      <c r="C99" s="52" t="s">
        <v>635</v>
      </c>
      <c r="D99" s="55">
        <v>64618</v>
      </c>
      <c r="E99" s="81">
        <v>0.5</v>
      </c>
      <c r="F99" s="50">
        <v>0.68099999999999994</v>
      </c>
      <c r="G99" s="50">
        <v>0.34050000000000002</v>
      </c>
      <c r="H99" s="54">
        <v>12.5985</v>
      </c>
      <c r="I99" s="65">
        <v>1.8</v>
      </c>
      <c r="J99" s="54">
        <v>10.078799999999999</v>
      </c>
      <c r="K99" s="76">
        <v>22.677299999999999</v>
      </c>
    </row>
    <row r="100" spans="1:11">
      <c r="A100" s="47" t="s">
        <v>690</v>
      </c>
      <c r="B100" s="47" t="s">
        <v>691</v>
      </c>
      <c r="C100" s="52" t="s">
        <v>635</v>
      </c>
      <c r="D100" s="55">
        <v>64618</v>
      </c>
      <c r="E100" s="81">
        <v>0.5</v>
      </c>
      <c r="F100" s="50">
        <v>0.68099999999999994</v>
      </c>
      <c r="G100" s="50">
        <v>0.34050000000000002</v>
      </c>
      <c r="H100" s="54">
        <v>12.5985</v>
      </c>
      <c r="I100" s="65">
        <v>1.8</v>
      </c>
      <c r="J100" s="54">
        <v>10.078799999999999</v>
      </c>
      <c r="K100" s="76">
        <v>22.677299999999999</v>
      </c>
    </row>
    <row r="101" spans="1:11">
      <c r="A101" s="47" t="s">
        <v>412</v>
      </c>
      <c r="B101" s="47" t="s">
        <v>413</v>
      </c>
      <c r="C101" s="52" t="s">
        <v>405</v>
      </c>
      <c r="D101" s="55">
        <v>71038</v>
      </c>
      <c r="E101" s="81">
        <v>0.55000000000000004</v>
      </c>
      <c r="F101" s="50">
        <v>0.61839999999999995</v>
      </c>
      <c r="G101" s="50">
        <v>0.34011999999999998</v>
      </c>
      <c r="H101" s="54">
        <v>12.584440000000001</v>
      </c>
      <c r="I101" s="65">
        <v>1.8</v>
      </c>
      <c r="J101" s="54">
        <v>10.067551999999999</v>
      </c>
      <c r="K101" s="76">
        <v>22.651992</v>
      </c>
    </row>
    <row r="102" spans="1:11">
      <c r="A102" s="47" t="s">
        <v>668</v>
      </c>
      <c r="B102" s="47" t="s">
        <v>669</v>
      </c>
      <c r="C102" s="52" t="s">
        <v>635</v>
      </c>
      <c r="D102" s="55">
        <v>64618</v>
      </c>
      <c r="E102" s="81">
        <v>0.5</v>
      </c>
      <c r="F102" s="50">
        <v>0.67989999999999995</v>
      </c>
      <c r="G102" s="50">
        <v>0.33994999999999997</v>
      </c>
      <c r="H102" s="54">
        <v>12.578150000000001</v>
      </c>
      <c r="I102" s="65">
        <v>1.8</v>
      </c>
      <c r="J102" s="54">
        <v>10.062519999999999</v>
      </c>
      <c r="K102" s="76">
        <v>22.64067</v>
      </c>
    </row>
    <row r="103" spans="1:11">
      <c r="A103" s="47" t="s">
        <v>682</v>
      </c>
      <c r="B103" s="47" t="s">
        <v>683</v>
      </c>
      <c r="C103" s="52" t="s">
        <v>635</v>
      </c>
      <c r="D103" s="55">
        <v>64618</v>
      </c>
      <c r="E103" s="81">
        <v>0.5</v>
      </c>
      <c r="F103" s="50">
        <v>0.67989999999999995</v>
      </c>
      <c r="G103" s="50">
        <v>0.33994999999999997</v>
      </c>
      <c r="H103" s="54">
        <v>12.578150000000001</v>
      </c>
      <c r="I103" s="65">
        <v>1.8</v>
      </c>
      <c r="J103" s="54">
        <v>10.062519999999999</v>
      </c>
      <c r="K103" s="76">
        <v>22.64067</v>
      </c>
    </row>
    <row r="104" spans="1:11">
      <c r="A104" s="47" t="s">
        <v>442</v>
      </c>
      <c r="B104" s="47" t="s">
        <v>443</v>
      </c>
      <c r="C104" s="52" t="s">
        <v>405</v>
      </c>
      <c r="D104" s="55">
        <v>71038</v>
      </c>
      <c r="E104" s="81">
        <v>0.55000000000000004</v>
      </c>
      <c r="F104" s="50">
        <v>0.61229999999999996</v>
      </c>
      <c r="G104" s="50">
        <v>0.33676499999999998</v>
      </c>
      <c r="H104" s="54">
        <v>12.460305</v>
      </c>
      <c r="I104" s="65">
        <v>1.8</v>
      </c>
      <c r="J104" s="54">
        <v>9.9682440000000003</v>
      </c>
      <c r="K104" s="76">
        <v>22.428549</v>
      </c>
    </row>
    <row r="105" spans="1:11">
      <c r="A105" s="47" t="s">
        <v>273</v>
      </c>
      <c r="B105" s="47" t="s">
        <v>274</v>
      </c>
      <c r="C105" s="52" t="s">
        <v>264</v>
      </c>
      <c r="D105" s="55">
        <v>167737</v>
      </c>
      <c r="E105" s="81">
        <v>0.5</v>
      </c>
      <c r="F105" s="50">
        <v>0.67230000000000001</v>
      </c>
      <c r="G105" s="50">
        <v>0.33615</v>
      </c>
      <c r="H105" s="54">
        <v>12.43755</v>
      </c>
      <c r="I105" s="65">
        <v>1.8</v>
      </c>
      <c r="J105" s="54">
        <v>9.9500400000000013</v>
      </c>
      <c r="K105" s="76">
        <v>22.387589999999999</v>
      </c>
    </row>
    <row r="106" spans="1:11">
      <c r="A106" s="47" t="s">
        <v>459</v>
      </c>
      <c r="B106" s="47" t="s">
        <v>460</v>
      </c>
      <c r="C106" s="52" t="s">
        <v>458</v>
      </c>
      <c r="D106" s="55">
        <v>155636</v>
      </c>
      <c r="E106" s="81">
        <v>0.57999999999999996</v>
      </c>
      <c r="F106" s="50">
        <v>0.69499999999999995</v>
      </c>
      <c r="G106" s="50">
        <v>0.40310000000000001</v>
      </c>
      <c r="H106" s="54">
        <v>14.9147</v>
      </c>
      <c r="I106" s="65">
        <v>1.5</v>
      </c>
      <c r="J106" s="54">
        <v>7.457349999999999</v>
      </c>
      <c r="K106" s="76">
        <v>22.372050000000002</v>
      </c>
    </row>
    <row r="107" spans="1:11">
      <c r="A107" s="47" t="s">
        <v>652</v>
      </c>
      <c r="B107" s="47" t="s">
        <v>653</v>
      </c>
      <c r="C107" s="52" t="s">
        <v>635</v>
      </c>
      <c r="D107" s="55">
        <v>64618</v>
      </c>
      <c r="E107" s="81">
        <v>0.5</v>
      </c>
      <c r="F107" s="50">
        <v>0.67099999999999993</v>
      </c>
      <c r="G107" s="50">
        <v>0.33550000000000002</v>
      </c>
      <c r="H107" s="54">
        <v>12.413500000000001</v>
      </c>
      <c r="I107" s="65">
        <v>1.8</v>
      </c>
      <c r="J107" s="54">
        <v>9.9307999999999996</v>
      </c>
      <c r="K107" s="76">
        <v>22.3443</v>
      </c>
    </row>
    <row r="108" spans="1:11">
      <c r="A108" s="47" t="s">
        <v>672</v>
      </c>
      <c r="B108" s="47" t="s">
        <v>673</v>
      </c>
      <c r="C108" s="52" t="s">
        <v>635</v>
      </c>
      <c r="D108" s="55">
        <v>64618</v>
      </c>
      <c r="E108" s="81">
        <v>0.5</v>
      </c>
      <c r="F108" s="50">
        <v>0.67059999999999997</v>
      </c>
      <c r="G108" s="50">
        <v>0.33529999999999999</v>
      </c>
      <c r="H108" s="54">
        <v>12.4061</v>
      </c>
      <c r="I108" s="65">
        <v>1.8</v>
      </c>
      <c r="J108" s="54">
        <v>9.9248800000000017</v>
      </c>
      <c r="K108" s="76">
        <v>22.33098</v>
      </c>
    </row>
    <row r="109" spans="1:11">
      <c r="A109" s="47" t="s">
        <v>461</v>
      </c>
      <c r="B109" s="47" t="s">
        <v>462</v>
      </c>
      <c r="C109" s="52" t="s">
        <v>458</v>
      </c>
      <c r="D109" s="55">
        <v>155636</v>
      </c>
      <c r="E109" s="81">
        <v>0.57999999999999996</v>
      </c>
      <c r="F109" s="50">
        <v>0.69069999999999998</v>
      </c>
      <c r="G109" s="50">
        <v>0.40060600000000002</v>
      </c>
      <c r="H109" s="54">
        <v>14.822422</v>
      </c>
      <c r="I109" s="65">
        <v>1.5</v>
      </c>
      <c r="J109" s="54">
        <v>7.4112109999999989</v>
      </c>
      <c r="K109" s="76">
        <v>22.233633000000001</v>
      </c>
    </row>
    <row r="110" spans="1:11">
      <c r="A110" s="47" t="s">
        <v>558</v>
      </c>
      <c r="B110" s="47" t="s">
        <v>559</v>
      </c>
      <c r="C110" s="52" t="s">
        <v>543</v>
      </c>
      <c r="D110" s="55">
        <v>57000</v>
      </c>
      <c r="E110" s="81">
        <v>0.5</v>
      </c>
      <c r="F110" s="50">
        <v>0.6</v>
      </c>
      <c r="G110" s="50">
        <v>0.3</v>
      </c>
      <c r="H110" s="54">
        <v>11.1</v>
      </c>
      <c r="I110" s="72">
        <v>2</v>
      </c>
      <c r="J110" s="54">
        <v>11.1</v>
      </c>
      <c r="K110" s="76">
        <v>22.2</v>
      </c>
    </row>
    <row r="111" spans="1:11">
      <c r="A111" s="47" t="s">
        <v>426</v>
      </c>
      <c r="B111" s="47" t="s">
        <v>427</v>
      </c>
      <c r="C111" s="52" t="s">
        <v>405</v>
      </c>
      <c r="D111" s="55">
        <v>71038</v>
      </c>
      <c r="E111" s="81">
        <v>0.55000000000000004</v>
      </c>
      <c r="F111" s="50">
        <v>0.60539999999999994</v>
      </c>
      <c r="G111" s="50">
        <v>0.33296999999999999</v>
      </c>
      <c r="H111" s="54">
        <v>12.319889999999999</v>
      </c>
      <c r="I111" s="65">
        <v>1.8</v>
      </c>
      <c r="J111" s="54">
        <v>9.855912</v>
      </c>
      <c r="K111" s="76">
        <v>22.175802000000001</v>
      </c>
    </row>
    <row r="112" spans="1:11">
      <c r="A112" s="47" t="s">
        <v>471</v>
      </c>
      <c r="B112" s="47" t="s">
        <v>472</v>
      </c>
      <c r="C112" s="52" t="s">
        <v>458</v>
      </c>
      <c r="D112" s="55">
        <v>155636</v>
      </c>
      <c r="E112" s="81">
        <v>0.57999999999999996</v>
      </c>
      <c r="F112" s="50">
        <v>0.68340000000000001</v>
      </c>
      <c r="G112" s="50">
        <v>0.396372</v>
      </c>
      <c r="H112" s="54">
        <v>14.665763999999999</v>
      </c>
      <c r="I112" s="65">
        <v>1.5</v>
      </c>
      <c r="J112" s="54">
        <v>7.3328819999999997</v>
      </c>
      <c r="K112" s="76">
        <v>21.998646000000001</v>
      </c>
    </row>
    <row r="113" spans="1:11">
      <c r="A113" s="47" t="s">
        <v>463</v>
      </c>
      <c r="B113" s="47" t="s">
        <v>464</v>
      </c>
      <c r="C113" s="52" t="s">
        <v>458</v>
      </c>
      <c r="D113" s="55">
        <v>155636</v>
      </c>
      <c r="E113" s="81">
        <v>0.57999999999999996</v>
      </c>
      <c r="F113" s="50">
        <v>0.68049999999999999</v>
      </c>
      <c r="G113" s="50">
        <v>0.39468999999999999</v>
      </c>
      <c r="H113" s="54">
        <v>14.603529999999999</v>
      </c>
      <c r="I113" s="65">
        <v>1.5</v>
      </c>
      <c r="J113" s="54">
        <v>7.3017649999999996</v>
      </c>
      <c r="K113" s="76">
        <v>21.905294999999999</v>
      </c>
    </row>
    <row r="114" spans="1:11">
      <c r="A114" s="47" t="s">
        <v>644</v>
      </c>
      <c r="B114" s="47" t="s">
        <v>645</v>
      </c>
      <c r="C114" s="52" t="s">
        <v>635</v>
      </c>
      <c r="D114" s="55">
        <v>64618</v>
      </c>
      <c r="E114" s="81">
        <v>0.5</v>
      </c>
      <c r="F114" s="50">
        <v>0.65780000000000005</v>
      </c>
      <c r="G114" s="50">
        <v>0.32890000000000003</v>
      </c>
      <c r="H114" s="54">
        <v>12.1693</v>
      </c>
      <c r="I114" s="65">
        <v>1.8</v>
      </c>
      <c r="J114" s="54">
        <v>9.7354400000000023</v>
      </c>
      <c r="K114" s="76">
        <v>21.90474</v>
      </c>
    </row>
    <row r="115" spans="1:11">
      <c r="A115" s="47" t="s">
        <v>660</v>
      </c>
      <c r="B115" s="47" t="s">
        <v>661</v>
      </c>
      <c r="C115" s="52" t="s">
        <v>635</v>
      </c>
      <c r="D115" s="55">
        <v>64618</v>
      </c>
      <c r="E115" s="81">
        <v>0.5</v>
      </c>
      <c r="F115" s="50">
        <v>0.65720000000000001</v>
      </c>
      <c r="G115" s="50">
        <v>0.3286</v>
      </c>
      <c r="H115" s="54">
        <v>12.158200000000001</v>
      </c>
      <c r="I115" s="65">
        <v>1.8</v>
      </c>
      <c r="J115" s="54">
        <v>9.726560000000001</v>
      </c>
      <c r="K115" s="76">
        <v>21.88476</v>
      </c>
    </row>
    <row r="116" spans="1:11">
      <c r="A116" s="47" t="s">
        <v>692</v>
      </c>
      <c r="B116" s="47" t="s">
        <v>693</v>
      </c>
      <c r="C116" s="52" t="s">
        <v>635</v>
      </c>
      <c r="D116" s="55">
        <v>64618</v>
      </c>
      <c r="E116" s="81">
        <v>0.5</v>
      </c>
      <c r="F116" s="50">
        <v>0.65700000000000003</v>
      </c>
      <c r="G116" s="50">
        <v>0.32850000000000001</v>
      </c>
      <c r="H116" s="54">
        <v>12.154500000000001</v>
      </c>
      <c r="I116" s="65">
        <v>1.8</v>
      </c>
      <c r="J116" s="54">
        <v>9.7236000000000011</v>
      </c>
      <c r="K116" s="76">
        <v>21.8781</v>
      </c>
    </row>
    <row r="117" spans="1:11">
      <c r="A117" s="47" t="s">
        <v>414</v>
      </c>
      <c r="B117" s="47" t="s">
        <v>415</v>
      </c>
      <c r="C117" s="52" t="s">
        <v>405</v>
      </c>
      <c r="D117" s="55">
        <v>71038</v>
      </c>
      <c r="E117" s="81">
        <v>0.55000000000000004</v>
      </c>
      <c r="F117" s="50">
        <v>0.59560000000000002</v>
      </c>
      <c r="G117" s="50">
        <v>0.32757999999999998</v>
      </c>
      <c r="H117" s="54">
        <v>12.12046</v>
      </c>
      <c r="I117" s="65">
        <v>1.8</v>
      </c>
      <c r="J117" s="54">
        <v>9.6963680000000014</v>
      </c>
      <c r="K117" s="76">
        <v>21.816828000000001</v>
      </c>
    </row>
    <row r="118" spans="1:11">
      <c r="A118" s="47" t="s">
        <v>430</v>
      </c>
      <c r="B118" s="47" t="s">
        <v>431</v>
      </c>
      <c r="C118" s="52" t="s">
        <v>405</v>
      </c>
      <c r="D118" s="55">
        <v>71038</v>
      </c>
      <c r="E118" s="81">
        <v>0.55000000000000004</v>
      </c>
      <c r="F118" s="50">
        <v>0.59519999999999995</v>
      </c>
      <c r="G118" s="50">
        <v>0.32735999999999998</v>
      </c>
      <c r="H118" s="54">
        <v>12.11232</v>
      </c>
      <c r="I118" s="65">
        <v>1.8</v>
      </c>
      <c r="J118" s="54">
        <v>9.6898559999999989</v>
      </c>
      <c r="K118" s="76">
        <v>21.802175999999999</v>
      </c>
    </row>
    <row r="119" spans="1:11">
      <c r="A119" s="47" t="s">
        <v>265</v>
      </c>
      <c r="B119" s="47" t="s">
        <v>266</v>
      </c>
      <c r="C119" s="52" t="s">
        <v>264</v>
      </c>
      <c r="D119" s="55">
        <v>167737</v>
      </c>
      <c r="E119" s="81">
        <v>0.5</v>
      </c>
      <c r="F119" s="50">
        <v>0.65339999999999998</v>
      </c>
      <c r="G119" s="50">
        <v>0.32669999999999999</v>
      </c>
      <c r="H119" s="54">
        <v>12.087899999999999</v>
      </c>
      <c r="I119" s="65">
        <v>1.8</v>
      </c>
      <c r="J119" s="54">
        <v>9.6703200000000002</v>
      </c>
      <c r="K119" s="76">
        <v>21.758220000000001</v>
      </c>
    </row>
    <row r="120" spans="1:11">
      <c r="A120" s="47" t="s">
        <v>662</v>
      </c>
      <c r="B120" s="47" t="s">
        <v>663</v>
      </c>
      <c r="C120" s="52" t="s">
        <v>635</v>
      </c>
      <c r="D120" s="55">
        <v>64618</v>
      </c>
      <c r="E120" s="81">
        <v>0.5</v>
      </c>
      <c r="F120" s="50">
        <v>0.65290000000000004</v>
      </c>
      <c r="G120" s="50">
        <v>0.32645000000000002</v>
      </c>
      <c r="H120" s="54">
        <v>12.07865</v>
      </c>
      <c r="I120" s="65">
        <v>1.8</v>
      </c>
      <c r="J120" s="54">
        <v>9.6629200000000015</v>
      </c>
      <c r="K120" s="76">
        <v>21.741569999999999</v>
      </c>
    </row>
    <row r="121" spans="1:11">
      <c r="A121" s="47" t="s">
        <v>279</v>
      </c>
      <c r="B121" s="47" t="s">
        <v>280</v>
      </c>
      <c r="C121" s="52" t="s">
        <v>264</v>
      </c>
      <c r="D121" s="55">
        <v>167737</v>
      </c>
      <c r="E121" s="81">
        <v>0.5</v>
      </c>
      <c r="F121" s="50">
        <v>0.65260000000000007</v>
      </c>
      <c r="G121" s="50">
        <v>0.32629999999999998</v>
      </c>
      <c r="H121" s="54">
        <v>12.0731</v>
      </c>
      <c r="I121" s="65">
        <v>1.8</v>
      </c>
      <c r="J121" s="54">
        <v>9.6584800000000026</v>
      </c>
      <c r="K121" s="76">
        <v>21.731580000000001</v>
      </c>
    </row>
    <row r="122" spans="1:11">
      <c r="A122" s="47" t="s">
        <v>658</v>
      </c>
      <c r="B122" s="47" t="s">
        <v>659</v>
      </c>
      <c r="C122" s="52" t="s">
        <v>635</v>
      </c>
      <c r="D122" s="55">
        <v>64618</v>
      </c>
      <c r="E122" s="81">
        <v>0.5</v>
      </c>
      <c r="F122" s="50">
        <v>0.6520999999999999</v>
      </c>
      <c r="G122" s="50">
        <v>0.32605000000000001</v>
      </c>
      <c r="H122" s="54">
        <v>12.06385</v>
      </c>
      <c r="I122" s="65">
        <v>1.8</v>
      </c>
      <c r="J122" s="54">
        <v>9.6510800000000003</v>
      </c>
      <c r="K122" s="76">
        <v>21.714929999999999</v>
      </c>
    </row>
    <row r="123" spans="1:11">
      <c r="A123" s="47" t="s">
        <v>686</v>
      </c>
      <c r="B123" s="47" t="s">
        <v>687</v>
      </c>
      <c r="C123" s="52" t="s">
        <v>635</v>
      </c>
      <c r="D123" s="55">
        <v>64618</v>
      </c>
      <c r="E123" s="81">
        <v>0.5</v>
      </c>
      <c r="F123" s="50">
        <v>0.65079999999999993</v>
      </c>
      <c r="G123" s="50">
        <v>0.32540000000000002</v>
      </c>
      <c r="H123" s="54">
        <v>12.0398</v>
      </c>
      <c r="I123" s="65">
        <v>1.8</v>
      </c>
      <c r="J123" s="54">
        <v>9.6318400000000004</v>
      </c>
      <c r="K123" s="76">
        <v>21.67164</v>
      </c>
    </row>
    <row r="124" spans="1:11">
      <c r="A124" s="47" t="s">
        <v>467</v>
      </c>
      <c r="B124" s="47" t="s">
        <v>468</v>
      </c>
      <c r="C124" s="52" t="s">
        <v>458</v>
      </c>
      <c r="D124" s="55">
        <v>155636</v>
      </c>
      <c r="E124" s="81">
        <v>0.57999999999999996</v>
      </c>
      <c r="F124" s="50">
        <v>0.67200000000000004</v>
      </c>
      <c r="G124" s="50">
        <v>0.38976</v>
      </c>
      <c r="H124" s="54">
        <v>14.42112</v>
      </c>
      <c r="I124" s="65">
        <v>1.5</v>
      </c>
      <c r="J124" s="54">
        <v>7.2105600000000001</v>
      </c>
      <c r="K124" s="76">
        <v>21.631679999999999</v>
      </c>
    </row>
    <row r="125" spans="1:11">
      <c r="A125" s="47" t="s">
        <v>281</v>
      </c>
      <c r="B125" s="47" t="s">
        <v>282</v>
      </c>
      <c r="C125" s="52" t="s">
        <v>264</v>
      </c>
      <c r="D125" s="55">
        <v>167737</v>
      </c>
      <c r="E125" s="81">
        <v>0.5</v>
      </c>
      <c r="F125" s="50">
        <v>0.64929999999999988</v>
      </c>
      <c r="G125" s="50">
        <v>0.32464999999999988</v>
      </c>
      <c r="H125" s="54">
        <v>12.01205</v>
      </c>
      <c r="I125" s="65">
        <v>1.8</v>
      </c>
      <c r="J125" s="54">
        <v>9.6096399999999988</v>
      </c>
      <c r="K125" s="76">
        <v>21.621690000000001</v>
      </c>
    </row>
    <row r="126" spans="1:11">
      <c r="A126" s="47" t="s">
        <v>262</v>
      </c>
      <c r="B126" s="47" t="s">
        <v>263</v>
      </c>
      <c r="C126" s="52" t="s">
        <v>264</v>
      </c>
      <c r="D126" s="55">
        <v>167737</v>
      </c>
      <c r="E126" s="81">
        <v>0.5</v>
      </c>
      <c r="F126" s="50">
        <v>0.64859999999999995</v>
      </c>
      <c r="G126" s="50">
        <v>0.32429999999999998</v>
      </c>
      <c r="H126" s="54">
        <v>11.9991</v>
      </c>
      <c r="I126" s="65">
        <v>1.8</v>
      </c>
      <c r="J126" s="54">
        <v>9.5992799999999985</v>
      </c>
      <c r="K126" s="76">
        <v>21.598379999999999</v>
      </c>
    </row>
    <row r="127" spans="1:11">
      <c r="A127" s="47" t="s">
        <v>676</v>
      </c>
      <c r="B127" s="47" t="s">
        <v>677</v>
      </c>
      <c r="C127" s="52" t="s">
        <v>635</v>
      </c>
      <c r="D127" s="55">
        <v>64618</v>
      </c>
      <c r="E127" s="81">
        <v>0.5</v>
      </c>
      <c r="F127" s="50">
        <v>0.64810000000000001</v>
      </c>
      <c r="G127" s="50">
        <v>0.32405</v>
      </c>
      <c r="H127" s="54">
        <v>11.989850000000001</v>
      </c>
      <c r="I127" s="65">
        <v>1.8</v>
      </c>
      <c r="J127" s="54">
        <v>9.5918800000000015</v>
      </c>
      <c r="K127" s="76">
        <v>21.58173</v>
      </c>
    </row>
    <row r="128" spans="1:11">
      <c r="A128" s="47" t="s">
        <v>336</v>
      </c>
      <c r="B128" s="47" t="s">
        <v>337</v>
      </c>
      <c r="C128" s="52" t="s">
        <v>303</v>
      </c>
      <c r="D128" s="55">
        <v>92773</v>
      </c>
      <c r="E128" s="81">
        <v>0.55000000000000004</v>
      </c>
      <c r="F128" s="50">
        <v>0.70669999999999999</v>
      </c>
      <c r="G128" s="50">
        <v>0.388685</v>
      </c>
      <c r="H128" s="54">
        <v>14.381345</v>
      </c>
      <c r="I128" s="65">
        <v>1.5</v>
      </c>
      <c r="J128" s="54">
        <v>7.1906724999999998</v>
      </c>
      <c r="K128" s="76">
        <v>21.572017500000001</v>
      </c>
    </row>
    <row r="129" spans="1:11">
      <c r="A129" s="47" t="s">
        <v>477</v>
      </c>
      <c r="B129" s="47" t="s">
        <v>478</v>
      </c>
      <c r="C129" s="52" t="s">
        <v>458</v>
      </c>
      <c r="D129" s="55">
        <v>155636</v>
      </c>
      <c r="E129" s="81">
        <v>0.57999999999999996</v>
      </c>
      <c r="F129" s="50">
        <v>0.66949999999999998</v>
      </c>
      <c r="G129" s="50">
        <v>0.38830999999999999</v>
      </c>
      <c r="H129" s="54">
        <v>14.367470000000001</v>
      </c>
      <c r="I129" s="65">
        <v>1.5</v>
      </c>
      <c r="J129" s="54">
        <v>7.1837350000000004</v>
      </c>
      <c r="K129" s="76">
        <v>21.551205</v>
      </c>
    </row>
    <row r="130" spans="1:11">
      <c r="A130" s="47" t="s">
        <v>277</v>
      </c>
      <c r="B130" s="47" t="s">
        <v>278</v>
      </c>
      <c r="C130" s="52" t="s">
        <v>264</v>
      </c>
      <c r="D130" s="55">
        <v>167737</v>
      </c>
      <c r="E130" s="81">
        <v>0.5</v>
      </c>
      <c r="F130" s="50">
        <v>0.64400000000000002</v>
      </c>
      <c r="G130" s="50">
        <v>0.32200000000000001</v>
      </c>
      <c r="H130" s="54">
        <v>11.914</v>
      </c>
      <c r="I130" s="65">
        <v>1.8</v>
      </c>
      <c r="J130" s="54">
        <v>9.5312000000000001</v>
      </c>
      <c r="K130" s="76">
        <v>21.4452</v>
      </c>
    </row>
    <row r="131" spans="1:11">
      <c r="A131" s="47" t="s">
        <v>694</v>
      </c>
      <c r="B131" s="47" t="s">
        <v>695</v>
      </c>
      <c r="C131" s="52" t="s">
        <v>635</v>
      </c>
      <c r="D131" s="55">
        <v>64618</v>
      </c>
      <c r="E131" s="81">
        <v>0.5</v>
      </c>
      <c r="F131" s="50">
        <v>0.64319999999999988</v>
      </c>
      <c r="G131" s="50">
        <v>0.32159999999999989</v>
      </c>
      <c r="H131" s="54">
        <v>11.8992</v>
      </c>
      <c r="I131" s="65">
        <v>1.8</v>
      </c>
      <c r="J131" s="54">
        <v>9.5193599999999989</v>
      </c>
      <c r="K131" s="76">
        <v>21.418559999999999</v>
      </c>
    </row>
    <row r="132" spans="1:11">
      <c r="A132" s="47" t="s">
        <v>454</v>
      </c>
      <c r="B132" s="47" t="s">
        <v>455</v>
      </c>
      <c r="C132" s="52" t="s">
        <v>405</v>
      </c>
      <c r="D132" s="55">
        <v>71038</v>
      </c>
      <c r="E132" s="81">
        <v>0.55000000000000004</v>
      </c>
      <c r="F132" s="50">
        <v>0.58329999999999993</v>
      </c>
      <c r="G132" s="50">
        <v>0.32081500000000002</v>
      </c>
      <c r="H132" s="54">
        <v>11.870155</v>
      </c>
      <c r="I132" s="65">
        <v>1.8</v>
      </c>
      <c r="J132" s="54">
        <v>9.496124</v>
      </c>
      <c r="K132" s="76">
        <v>21.366278999999999</v>
      </c>
    </row>
    <row r="133" spans="1:11">
      <c r="A133" s="47" t="s">
        <v>289</v>
      </c>
      <c r="B133" s="47" t="s">
        <v>290</v>
      </c>
      <c r="C133" s="52" t="s">
        <v>264</v>
      </c>
      <c r="D133" s="55">
        <v>167737</v>
      </c>
      <c r="E133" s="81">
        <v>0.5</v>
      </c>
      <c r="F133" s="50">
        <v>0.63850000000000007</v>
      </c>
      <c r="G133" s="50">
        <v>0.31924999999999998</v>
      </c>
      <c r="H133" s="54">
        <v>11.812250000000001</v>
      </c>
      <c r="I133" s="65">
        <v>1.8</v>
      </c>
      <c r="J133" s="54">
        <v>9.4498000000000015</v>
      </c>
      <c r="K133" s="76">
        <v>21.262049999999999</v>
      </c>
    </row>
    <row r="134" spans="1:11">
      <c r="A134" s="47" t="s">
        <v>432</v>
      </c>
      <c r="B134" s="47" t="s">
        <v>433</v>
      </c>
      <c r="C134" s="52" t="s">
        <v>405</v>
      </c>
      <c r="D134" s="55">
        <v>71038</v>
      </c>
      <c r="E134" s="81">
        <v>0.55000000000000004</v>
      </c>
      <c r="F134" s="50">
        <v>0.58030000000000004</v>
      </c>
      <c r="G134" s="50">
        <v>0.31916499999999998</v>
      </c>
      <c r="H134" s="54">
        <v>11.809105000000001</v>
      </c>
      <c r="I134" s="65">
        <v>1.8</v>
      </c>
      <c r="J134" s="54">
        <v>9.4472840000000016</v>
      </c>
      <c r="K134" s="76">
        <v>21.256388999999999</v>
      </c>
    </row>
    <row r="135" spans="1:11">
      <c r="A135" s="47" t="s">
        <v>544</v>
      </c>
      <c r="B135" s="47" t="s">
        <v>545</v>
      </c>
      <c r="C135" s="52" t="s">
        <v>543</v>
      </c>
      <c r="D135" s="55">
        <v>57000</v>
      </c>
      <c r="E135" s="81">
        <v>0.5</v>
      </c>
      <c r="F135" s="50">
        <v>0.57279999999999998</v>
      </c>
      <c r="G135" s="50">
        <v>0.28639999999999999</v>
      </c>
      <c r="H135" s="54">
        <v>10.5968</v>
      </c>
      <c r="I135" s="72">
        <v>2</v>
      </c>
      <c r="J135" s="54">
        <v>10.5968</v>
      </c>
      <c r="K135" s="76">
        <v>21.1936</v>
      </c>
    </row>
    <row r="136" spans="1:11">
      <c r="A136" s="47" t="s">
        <v>422</v>
      </c>
      <c r="B136" s="47" t="s">
        <v>423</v>
      </c>
      <c r="C136" s="52" t="s">
        <v>405</v>
      </c>
      <c r="D136" s="55">
        <v>71038</v>
      </c>
      <c r="E136" s="81">
        <v>0.55000000000000004</v>
      </c>
      <c r="F136" s="50">
        <v>0.5776</v>
      </c>
      <c r="G136" s="50">
        <v>0.31768000000000002</v>
      </c>
      <c r="H136" s="54">
        <v>11.754160000000001</v>
      </c>
      <c r="I136" s="65">
        <v>1.8</v>
      </c>
      <c r="J136" s="54">
        <v>9.4033280000000001</v>
      </c>
      <c r="K136" s="76">
        <v>21.157488000000001</v>
      </c>
    </row>
    <row r="137" spans="1:11">
      <c r="A137" s="47" t="s">
        <v>342</v>
      </c>
      <c r="B137" s="47" t="s">
        <v>343</v>
      </c>
      <c r="C137" s="52" t="s">
        <v>303</v>
      </c>
      <c r="D137" s="55">
        <v>92773</v>
      </c>
      <c r="E137" s="81">
        <v>0.55000000000000004</v>
      </c>
      <c r="F137" s="50">
        <v>0.69299999999999995</v>
      </c>
      <c r="G137" s="50">
        <v>0.38114999999999999</v>
      </c>
      <c r="H137" s="54">
        <v>14.102550000000001</v>
      </c>
      <c r="I137" s="65">
        <v>1.5</v>
      </c>
      <c r="J137" s="54">
        <v>7.0512750000000004</v>
      </c>
      <c r="K137" s="76">
        <v>21.153825000000001</v>
      </c>
    </row>
    <row r="138" spans="1:11">
      <c r="A138" s="47" t="s">
        <v>546</v>
      </c>
      <c r="B138" s="47" t="s">
        <v>547</v>
      </c>
      <c r="C138" s="52" t="s">
        <v>543</v>
      </c>
      <c r="D138" s="55">
        <v>57000</v>
      </c>
      <c r="E138" s="81">
        <v>0.5</v>
      </c>
      <c r="F138" s="50">
        <v>0.57100000000000006</v>
      </c>
      <c r="G138" s="50">
        <v>0.28549999999999998</v>
      </c>
      <c r="H138" s="54">
        <v>10.563499999999999</v>
      </c>
      <c r="I138" s="72">
        <v>2</v>
      </c>
      <c r="J138" s="54">
        <v>10.563499999999999</v>
      </c>
      <c r="K138" s="76">
        <v>21.126999999999999</v>
      </c>
    </row>
    <row r="139" spans="1:11">
      <c r="A139" s="47" t="s">
        <v>554</v>
      </c>
      <c r="B139" s="47" t="s">
        <v>555</v>
      </c>
      <c r="C139" s="52" t="s">
        <v>543</v>
      </c>
      <c r="D139" s="55">
        <v>57000</v>
      </c>
      <c r="E139" s="81">
        <v>0.5</v>
      </c>
      <c r="F139" s="50">
        <v>0.57100000000000006</v>
      </c>
      <c r="G139" s="50">
        <v>0.28549999999999998</v>
      </c>
      <c r="H139" s="54">
        <v>10.563499999999999</v>
      </c>
      <c r="I139" s="72">
        <v>2</v>
      </c>
      <c r="J139" s="54">
        <v>10.563499999999999</v>
      </c>
      <c r="K139" s="76">
        <v>21.126999999999999</v>
      </c>
    </row>
    <row r="140" spans="1:11">
      <c r="A140" s="47" t="s">
        <v>548</v>
      </c>
      <c r="B140" s="47" t="s">
        <v>549</v>
      </c>
      <c r="C140" s="52" t="s">
        <v>543</v>
      </c>
      <c r="D140" s="55">
        <v>57000</v>
      </c>
      <c r="E140" s="81">
        <v>0.5</v>
      </c>
      <c r="F140" s="50">
        <v>0.57050000000000001</v>
      </c>
      <c r="G140" s="50">
        <v>0.28525</v>
      </c>
      <c r="H140" s="54">
        <v>10.55425</v>
      </c>
      <c r="I140" s="72">
        <v>2</v>
      </c>
      <c r="J140" s="54">
        <v>10.55425</v>
      </c>
      <c r="K140" s="76">
        <v>21.108499999999999</v>
      </c>
    </row>
    <row r="141" spans="1:11">
      <c r="A141" s="47" t="s">
        <v>684</v>
      </c>
      <c r="B141" s="47" t="s">
        <v>685</v>
      </c>
      <c r="C141" s="52" t="s">
        <v>635</v>
      </c>
      <c r="D141" s="55">
        <v>64618</v>
      </c>
      <c r="E141" s="81">
        <v>0.5</v>
      </c>
      <c r="F141" s="50">
        <v>0.63350000000000006</v>
      </c>
      <c r="G141" s="50">
        <v>0.31674999999999998</v>
      </c>
      <c r="H141" s="54">
        <v>11.719749999999999</v>
      </c>
      <c r="I141" s="65">
        <v>1.8</v>
      </c>
      <c r="J141" s="54">
        <v>9.3758000000000017</v>
      </c>
      <c r="K141" s="76">
        <v>21.095549999999999</v>
      </c>
    </row>
    <row r="142" spans="1:11">
      <c r="A142" s="47" t="s">
        <v>678</v>
      </c>
      <c r="B142" s="47" t="s">
        <v>679</v>
      </c>
      <c r="C142" s="52" t="s">
        <v>635</v>
      </c>
      <c r="D142" s="55">
        <v>64618</v>
      </c>
      <c r="E142" s="81">
        <v>0.5</v>
      </c>
      <c r="F142" s="50">
        <v>0.63200000000000001</v>
      </c>
      <c r="G142" s="50">
        <v>0.316</v>
      </c>
      <c r="H142" s="54">
        <v>11.692</v>
      </c>
      <c r="I142" s="65">
        <v>1.8</v>
      </c>
      <c r="J142" s="54">
        <v>9.3536000000000001</v>
      </c>
      <c r="K142" s="76">
        <v>21.0456</v>
      </c>
    </row>
    <row r="143" spans="1:11">
      <c r="A143" s="47" t="s">
        <v>287</v>
      </c>
      <c r="B143" s="47" t="s">
        <v>288</v>
      </c>
      <c r="C143" s="52" t="s">
        <v>264</v>
      </c>
      <c r="D143" s="55">
        <v>167737</v>
      </c>
      <c r="E143" s="81">
        <v>0.5</v>
      </c>
      <c r="F143" s="50">
        <v>0.63190000000000002</v>
      </c>
      <c r="G143" s="50">
        <v>0.31595000000000001</v>
      </c>
      <c r="H143" s="54">
        <v>11.690149999999999</v>
      </c>
      <c r="I143" s="65">
        <v>1.8</v>
      </c>
      <c r="J143" s="54">
        <v>9.3521200000000011</v>
      </c>
      <c r="K143" s="76">
        <v>21.042269999999998</v>
      </c>
    </row>
    <row r="144" spans="1:11">
      <c r="A144" s="47" t="s">
        <v>436</v>
      </c>
      <c r="B144" s="47" t="s">
        <v>437</v>
      </c>
      <c r="C144" s="52" t="s">
        <v>405</v>
      </c>
      <c r="D144" s="55">
        <v>71038</v>
      </c>
      <c r="E144" s="81">
        <v>0.55000000000000004</v>
      </c>
      <c r="F144" s="50">
        <v>0.57389999999999997</v>
      </c>
      <c r="G144" s="50">
        <v>0.31564500000000001</v>
      </c>
      <c r="H144" s="54">
        <v>11.678865</v>
      </c>
      <c r="I144" s="65">
        <v>1.8</v>
      </c>
      <c r="J144" s="54">
        <v>9.3430920000000004</v>
      </c>
      <c r="K144" s="76">
        <v>21.021957</v>
      </c>
    </row>
    <row r="145" spans="1:11">
      <c r="A145" s="47" t="s">
        <v>314</v>
      </c>
      <c r="B145" s="47" t="s">
        <v>315</v>
      </c>
      <c r="C145" s="52" t="s">
        <v>303</v>
      </c>
      <c r="D145" s="55">
        <v>92773</v>
      </c>
      <c r="E145" s="81">
        <v>0.55000000000000004</v>
      </c>
      <c r="F145" s="50">
        <v>0.68519999999999992</v>
      </c>
      <c r="G145" s="50">
        <v>0.37685999999999997</v>
      </c>
      <c r="H145" s="54">
        <v>13.943820000000001</v>
      </c>
      <c r="I145" s="65">
        <v>1.5</v>
      </c>
      <c r="J145" s="54">
        <v>6.9719099999999994</v>
      </c>
      <c r="K145" s="76">
        <v>20.91573</v>
      </c>
    </row>
    <row r="146" spans="1:11">
      <c r="A146" s="47" t="s">
        <v>617</v>
      </c>
      <c r="B146" s="47" t="s">
        <v>618</v>
      </c>
      <c r="C146" s="52" t="s">
        <v>606</v>
      </c>
      <c r="D146" s="55">
        <v>40786</v>
      </c>
      <c r="E146" s="81">
        <v>0.5</v>
      </c>
      <c r="F146" s="50">
        <v>0.56520000000000004</v>
      </c>
      <c r="G146" s="50">
        <v>0.28260000000000002</v>
      </c>
      <c r="H146" s="54">
        <v>10.456200000000001</v>
      </c>
      <c r="I146" s="72">
        <v>2</v>
      </c>
      <c r="J146" s="54">
        <v>10.456200000000001</v>
      </c>
      <c r="K146" s="76">
        <v>20.912400000000002</v>
      </c>
    </row>
    <row r="147" spans="1:11">
      <c r="A147" s="47" t="s">
        <v>428</v>
      </c>
      <c r="B147" s="47" t="s">
        <v>429</v>
      </c>
      <c r="C147" s="52" t="s">
        <v>405</v>
      </c>
      <c r="D147" s="55">
        <v>71038</v>
      </c>
      <c r="E147" s="81">
        <v>0.55000000000000004</v>
      </c>
      <c r="F147" s="50">
        <v>0.57009999999999994</v>
      </c>
      <c r="G147" s="50">
        <v>0.31355499999999997</v>
      </c>
      <c r="H147" s="54">
        <v>11.601535</v>
      </c>
      <c r="I147" s="65">
        <v>1.8</v>
      </c>
      <c r="J147" s="54">
        <v>9.2812279999999987</v>
      </c>
      <c r="K147" s="76">
        <v>20.882763000000001</v>
      </c>
    </row>
    <row r="148" spans="1:11">
      <c r="A148" s="47" t="s">
        <v>688</v>
      </c>
      <c r="B148" s="47" t="s">
        <v>689</v>
      </c>
      <c r="C148" s="52" t="s">
        <v>635</v>
      </c>
      <c r="D148" s="55">
        <v>64618</v>
      </c>
      <c r="E148" s="81">
        <v>0.5</v>
      </c>
      <c r="F148" s="50">
        <v>0.625</v>
      </c>
      <c r="G148" s="50">
        <v>0.3125</v>
      </c>
      <c r="H148" s="54">
        <v>11.5625</v>
      </c>
      <c r="I148" s="65">
        <v>1.8</v>
      </c>
      <c r="J148" s="54">
        <v>9.25</v>
      </c>
      <c r="K148" s="76">
        <v>20.8125</v>
      </c>
    </row>
    <row r="149" spans="1:11">
      <c r="A149" s="47" t="s">
        <v>696</v>
      </c>
      <c r="B149" s="47" t="s">
        <v>689</v>
      </c>
      <c r="C149" s="52" t="s">
        <v>635</v>
      </c>
      <c r="D149" s="55">
        <v>64618</v>
      </c>
      <c r="E149" s="81">
        <v>0.5</v>
      </c>
      <c r="F149" s="50">
        <v>0.625</v>
      </c>
      <c r="G149" s="50">
        <v>0.3125</v>
      </c>
      <c r="H149" s="54">
        <v>11.5625</v>
      </c>
      <c r="I149" s="65">
        <v>1.8</v>
      </c>
      <c r="J149" s="54">
        <v>9.25</v>
      </c>
      <c r="K149" s="76">
        <v>20.8125</v>
      </c>
    </row>
    <row r="150" spans="1:11">
      <c r="A150" s="47" t="s">
        <v>410</v>
      </c>
      <c r="B150" s="47" t="s">
        <v>411</v>
      </c>
      <c r="C150" s="52" t="s">
        <v>405</v>
      </c>
      <c r="D150" s="55">
        <v>71038</v>
      </c>
      <c r="E150" s="81">
        <v>0.55000000000000004</v>
      </c>
      <c r="F150" s="50">
        <v>0.56559999999999999</v>
      </c>
      <c r="G150" s="50">
        <v>0.31108000000000002</v>
      </c>
      <c r="H150" s="54">
        <v>11.50996</v>
      </c>
      <c r="I150" s="65">
        <v>1.8</v>
      </c>
      <c r="J150" s="54">
        <v>9.207968000000001</v>
      </c>
      <c r="K150" s="76">
        <v>20.717928000000001</v>
      </c>
    </row>
    <row r="151" spans="1:11">
      <c r="A151" s="47" t="s">
        <v>424</v>
      </c>
      <c r="B151" s="47" t="s">
        <v>425</v>
      </c>
      <c r="C151" s="52" t="s">
        <v>405</v>
      </c>
      <c r="D151" s="55">
        <v>71038</v>
      </c>
      <c r="E151" s="81">
        <v>0.55000000000000004</v>
      </c>
      <c r="F151" s="50">
        <v>0.56420000000000003</v>
      </c>
      <c r="G151" s="50">
        <v>0.31030999999999997</v>
      </c>
      <c r="H151" s="54">
        <v>11.48147</v>
      </c>
      <c r="I151" s="65">
        <v>1.8</v>
      </c>
      <c r="J151" s="54">
        <v>9.185176000000002</v>
      </c>
      <c r="K151" s="76">
        <v>20.666646</v>
      </c>
    </row>
    <row r="152" spans="1:11">
      <c r="A152" s="47" t="s">
        <v>444</v>
      </c>
      <c r="B152" s="47" t="s">
        <v>445</v>
      </c>
      <c r="C152" s="52" t="s">
        <v>405</v>
      </c>
      <c r="D152" s="55">
        <v>71038</v>
      </c>
      <c r="E152" s="81">
        <v>0.55000000000000004</v>
      </c>
      <c r="F152" s="50">
        <v>0.56179999999999997</v>
      </c>
      <c r="G152" s="50">
        <v>0.30898999999999999</v>
      </c>
      <c r="H152" s="54">
        <v>11.43263</v>
      </c>
      <c r="I152" s="65">
        <v>1.8</v>
      </c>
      <c r="J152" s="54">
        <v>9.1461039999999993</v>
      </c>
      <c r="K152" s="76">
        <v>20.578734000000001</v>
      </c>
    </row>
    <row r="153" spans="1:11">
      <c r="A153" s="47" t="s">
        <v>438</v>
      </c>
      <c r="B153" s="47" t="s">
        <v>439</v>
      </c>
      <c r="C153" s="52" t="s">
        <v>405</v>
      </c>
      <c r="D153" s="55">
        <v>71038</v>
      </c>
      <c r="E153" s="81">
        <v>0.55000000000000004</v>
      </c>
      <c r="F153" s="50">
        <v>0.55530000000000002</v>
      </c>
      <c r="G153" s="50">
        <v>0.30541499999999999</v>
      </c>
      <c r="H153" s="54">
        <v>11.300355</v>
      </c>
      <c r="I153" s="65">
        <v>1.8</v>
      </c>
      <c r="J153" s="54">
        <v>9.0402840000000015</v>
      </c>
      <c r="K153" s="76">
        <v>20.340638999999999</v>
      </c>
    </row>
    <row r="154" spans="1:11">
      <c r="A154" s="47" t="s">
        <v>434</v>
      </c>
      <c r="B154" s="47" t="s">
        <v>435</v>
      </c>
      <c r="C154" s="52" t="s">
        <v>405</v>
      </c>
      <c r="D154" s="55">
        <v>71038</v>
      </c>
      <c r="E154" s="81">
        <v>0.55000000000000004</v>
      </c>
      <c r="F154" s="50">
        <v>0.55399999999999994</v>
      </c>
      <c r="G154" s="50">
        <v>0.30470000000000003</v>
      </c>
      <c r="H154" s="54">
        <v>11.273899999999999</v>
      </c>
      <c r="I154" s="65">
        <v>1.8</v>
      </c>
      <c r="J154" s="54">
        <v>9.0191199999999991</v>
      </c>
      <c r="K154" s="76">
        <v>20.293019999999999</v>
      </c>
    </row>
    <row r="155" spans="1:11">
      <c r="A155" s="47" t="s">
        <v>674</v>
      </c>
      <c r="B155" s="47" t="s">
        <v>675</v>
      </c>
      <c r="C155" s="52" t="s">
        <v>635</v>
      </c>
      <c r="D155" s="55">
        <v>64618</v>
      </c>
      <c r="E155" s="81">
        <v>0.5</v>
      </c>
      <c r="F155" s="50">
        <v>0.60030000000000006</v>
      </c>
      <c r="G155" s="50">
        <v>0.30014999999999997</v>
      </c>
      <c r="H155" s="54">
        <v>11.105549999999999</v>
      </c>
      <c r="I155" s="65">
        <v>1.8</v>
      </c>
      <c r="J155" s="54">
        <v>8.8844400000000014</v>
      </c>
      <c r="K155" s="76">
        <v>19.989989999999999</v>
      </c>
    </row>
    <row r="156" spans="1:11">
      <c r="A156" s="47" t="s">
        <v>680</v>
      </c>
      <c r="B156" s="47" t="s">
        <v>681</v>
      </c>
      <c r="C156" s="52" t="s">
        <v>635</v>
      </c>
      <c r="D156" s="55">
        <v>64618</v>
      </c>
      <c r="E156" s="81">
        <v>0.5</v>
      </c>
      <c r="F156" s="50">
        <v>0.60030000000000006</v>
      </c>
      <c r="G156" s="50">
        <v>0.30014999999999997</v>
      </c>
      <c r="H156" s="54">
        <v>11.105549999999999</v>
      </c>
      <c r="I156" s="65">
        <v>1.8</v>
      </c>
      <c r="J156" s="54">
        <v>8.8844400000000014</v>
      </c>
      <c r="K156" s="76">
        <v>19.989989999999999</v>
      </c>
    </row>
    <row r="157" spans="1:11">
      <c r="A157" s="47" t="s">
        <v>473</v>
      </c>
      <c r="B157" s="47" t="s">
        <v>474</v>
      </c>
      <c r="C157" s="52" t="s">
        <v>458</v>
      </c>
      <c r="D157" s="55">
        <v>155636</v>
      </c>
      <c r="E157" s="81">
        <v>0.57999999999999996</v>
      </c>
      <c r="F157" s="50">
        <v>0.62090000000000001</v>
      </c>
      <c r="G157" s="50">
        <v>0.360122</v>
      </c>
      <c r="H157" s="54">
        <v>13.324514000000001</v>
      </c>
      <c r="I157" s="65">
        <v>1.5</v>
      </c>
      <c r="J157" s="54">
        <v>6.6622570000000003</v>
      </c>
      <c r="K157" s="76">
        <v>19.986771000000001</v>
      </c>
    </row>
    <row r="158" spans="1:11">
      <c r="A158" s="47" t="s">
        <v>269</v>
      </c>
      <c r="B158" s="47" t="s">
        <v>270</v>
      </c>
      <c r="C158" s="52" t="s">
        <v>264</v>
      </c>
      <c r="D158" s="55">
        <v>167737</v>
      </c>
      <c r="E158" s="81">
        <v>0.5</v>
      </c>
      <c r="F158" s="50">
        <v>0.59920000000000007</v>
      </c>
      <c r="G158" s="50">
        <v>0.29959999999999998</v>
      </c>
      <c r="H158" s="54">
        <v>11.0852</v>
      </c>
      <c r="I158" s="65">
        <v>1.8</v>
      </c>
      <c r="J158" s="54">
        <v>8.8681600000000014</v>
      </c>
      <c r="K158" s="76">
        <v>19.95336</v>
      </c>
    </row>
    <row r="159" spans="1:11">
      <c r="A159" s="47" t="s">
        <v>627</v>
      </c>
      <c r="B159" s="47" t="s">
        <v>628</v>
      </c>
      <c r="C159" s="52" t="s">
        <v>606</v>
      </c>
      <c r="D159" s="55">
        <v>40786</v>
      </c>
      <c r="E159" s="81">
        <v>0.5</v>
      </c>
      <c r="F159" s="50">
        <v>0.53689999999999993</v>
      </c>
      <c r="G159" s="50">
        <v>0.26845000000000002</v>
      </c>
      <c r="H159" s="54">
        <v>9.9326499999999989</v>
      </c>
      <c r="I159" s="72">
        <v>2</v>
      </c>
      <c r="J159" s="54">
        <v>9.9326499999999989</v>
      </c>
      <c r="K159" s="76">
        <v>19.865300000000001</v>
      </c>
    </row>
    <row r="160" spans="1:11">
      <c r="A160" s="47" t="s">
        <v>295</v>
      </c>
      <c r="B160" s="47" t="s">
        <v>296</v>
      </c>
      <c r="C160" s="52" t="s">
        <v>264</v>
      </c>
      <c r="D160" s="55">
        <v>167737</v>
      </c>
      <c r="E160" s="81">
        <v>0.5</v>
      </c>
      <c r="F160" s="50">
        <v>0.59350000000000003</v>
      </c>
      <c r="G160" s="50">
        <v>0.29675000000000001</v>
      </c>
      <c r="H160" s="54">
        <v>10.979749999999999</v>
      </c>
      <c r="I160" s="65">
        <v>1.8</v>
      </c>
      <c r="J160" s="54">
        <v>8.7838000000000012</v>
      </c>
      <c r="K160" s="76">
        <v>19.763549999999999</v>
      </c>
    </row>
    <row r="161" spans="1:11">
      <c r="A161" s="47" t="s">
        <v>267</v>
      </c>
      <c r="B161" s="47" t="s">
        <v>268</v>
      </c>
      <c r="C161" s="52" t="s">
        <v>264</v>
      </c>
      <c r="D161" s="55">
        <v>167737</v>
      </c>
      <c r="E161" s="81">
        <v>0.5</v>
      </c>
      <c r="F161" s="50">
        <v>0.58950000000000002</v>
      </c>
      <c r="G161" s="50">
        <v>0.29475000000000001</v>
      </c>
      <c r="H161" s="54">
        <v>10.905749999999999</v>
      </c>
      <c r="I161" s="65">
        <v>1.8</v>
      </c>
      <c r="J161" s="54">
        <v>8.7246000000000006</v>
      </c>
      <c r="K161" s="76">
        <v>19.63035</v>
      </c>
    </row>
    <row r="162" spans="1:11">
      <c r="A162" s="47" t="s">
        <v>291</v>
      </c>
      <c r="B162" s="47" t="s">
        <v>292</v>
      </c>
      <c r="C162" s="52" t="s">
        <v>264</v>
      </c>
      <c r="D162" s="55">
        <v>167737</v>
      </c>
      <c r="E162" s="81">
        <v>0.5</v>
      </c>
      <c r="F162" s="50">
        <v>0.58899999999999997</v>
      </c>
      <c r="G162" s="50">
        <v>0.29449999999999998</v>
      </c>
      <c r="H162" s="54">
        <v>10.8965</v>
      </c>
      <c r="I162" s="65">
        <v>1.8</v>
      </c>
      <c r="J162" s="54">
        <v>8.7172000000000001</v>
      </c>
      <c r="K162" s="76">
        <v>19.613700000000001</v>
      </c>
    </row>
    <row r="163" spans="1:11">
      <c r="A163" s="47" t="s">
        <v>475</v>
      </c>
      <c r="B163" s="47" t="s">
        <v>476</v>
      </c>
      <c r="C163" s="52" t="s">
        <v>458</v>
      </c>
      <c r="D163" s="55">
        <v>155636</v>
      </c>
      <c r="E163" s="81">
        <v>0.57999999999999996</v>
      </c>
      <c r="F163" s="50">
        <v>0.60819999999999996</v>
      </c>
      <c r="G163" s="50">
        <v>0.35275600000000001</v>
      </c>
      <c r="H163" s="54">
        <v>13.051971999999999</v>
      </c>
      <c r="I163" s="65">
        <v>1.5</v>
      </c>
      <c r="J163" s="54">
        <v>6.5259859999999996</v>
      </c>
      <c r="K163" s="76">
        <v>19.577957999999999</v>
      </c>
    </row>
    <row r="164" spans="1:11">
      <c r="A164" s="47" t="s">
        <v>299</v>
      </c>
      <c r="B164" s="47" t="s">
        <v>300</v>
      </c>
      <c r="C164" s="52" t="s">
        <v>264</v>
      </c>
      <c r="D164" s="55">
        <v>167737</v>
      </c>
      <c r="E164" s="81">
        <v>0.5</v>
      </c>
      <c r="F164" s="50">
        <v>0.5877</v>
      </c>
      <c r="G164" s="50">
        <v>0.29385</v>
      </c>
      <c r="H164" s="54">
        <v>10.872450000000001</v>
      </c>
      <c r="I164" s="65">
        <v>1.8</v>
      </c>
      <c r="J164" s="54">
        <v>8.6979600000000001</v>
      </c>
      <c r="K164" s="76">
        <v>19.570409999999999</v>
      </c>
    </row>
    <row r="165" spans="1:11">
      <c r="A165" s="47" t="s">
        <v>326</v>
      </c>
      <c r="B165" s="47" t="s">
        <v>327</v>
      </c>
      <c r="C165" s="52" t="s">
        <v>303</v>
      </c>
      <c r="D165" s="55">
        <v>92773</v>
      </c>
      <c r="E165" s="81">
        <v>0.55000000000000004</v>
      </c>
      <c r="F165" s="50">
        <v>0.63780000000000003</v>
      </c>
      <c r="G165" s="50">
        <v>0.35078999999999999</v>
      </c>
      <c r="H165" s="54">
        <v>12.979229999999999</v>
      </c>
      <c r="I165" s="65">
        <v>1.5</v>
      </c>
      <c r="J165" s="54">
        <v>6.4896150000000006</v>
      </c>
      <c r="K165" s="76">
        <v>19.468845000000002</v>
      </c>
    </row>
    <row r="166" spans="1:11">
      <c r="A166" s="47" t="s">
        <v>465</v>
      </c>
      <c r="B166" s="47" t="s">
        <v>466</v>
      </c>
      <c r="C166" s="52" t="s">
        <v>458</v>
      </c>
      <c r="D166" s="55">
        <v>155636</v>
      </c>
      <c r="E166" s="81">
        <v>0.57999999999999996</v>
      </c>
      <c r="F166" s="50">
        <v>0.60350000000000004</v>
      </c>
      <c r="G166" s="50">
        <v>0.35003000000000001</v>
      </c>
      <c r="H166" s="54">
        <v>12.95111</v>
      </c>
      <c r="I166" s="65">
        <v>1.5</v>
      </c>
      <c r="J166" s="54">
        <v>6.4755549999999999</v>
      </c>
      <c r="K166" s="76">
        <v>19.426665</v>
      </c>
    </row>
    <row r="167" spans="1:11">
      <c r="A167" s="47" t="s">
        <v>633</v>
      </c>
      <c r="B167" s="47" t="s">
        <v>634</v>
      </c>
      <c r="C167" s="52" t="s">
        <v>635</v>
      </c>
      <c r="D167" s="55">
        <v>64618</v>
      </c>
      <c r="E167" s="81">
        <v>0.5</v>
      </c>
      <c r="F167" s="50">
        <v>0.58279999999999998</v>
      </c>
      <c r="G167" s="50">
        <v>0.29139999999999999</v>
      </c>
      <c r="H167" s="54">
        <v>10.7818</v>
      </c>
      <c r="I167" s="65">
        <v>1.8</v>
      </c>
      <c r="J167" s="54">
        <v>8.6254400000000011</v>
      </c>
      <c r="K167" s="76">
        <v>19.407240000000002</v>
      </c>
    </row>
    <row r="168" spans="1:11">
      <c r="A168" s="47" t="s">
        <v>297</v>
      </c>
      <c r="B168" s="47" t="s">
        <v>298</v>
      </c>
      <c r="C168" s="52" t="s">
        <v>264</v>
      </c>
      <c r="D168" s="55">
        <v>167737</v>
      </c>
      <c r="E168" s="81">
        <v>0.5</v>
      </c>
      <c r="F168" s="50">
        <v>0.58210000000000006</v>
      </c>
      <c r="G168" s="50">
        <v>0.29104999999999998</v>
      </c>
      <c r="H168" s="54">
        <v>10.76885</v>
      </c>
      <c r="I168" s="65">
        <v>1.8</v>
      </c>
      <c r="J168" s="54">
        <v>8.6150800000000007</v>
      </c>
      <c r="K168" s="76">
        <v>19.383929999999999</v>
      </c>
    </row>
    <row r="169" spans="1:11">
      <c r="A169" s="47" t="s">
        <v>271</v>
      </c>
      <c r="B169" s="47" t="s">
        <v>272</v>
      </c>
      <c r="C169" s="52" t="s">
        <v>264</v>
      </c>
      <c r="D169" s="55">
        <v>167737</v>
      </c>
      <c r="E169" s="81">
        <v>0.5</v>
      </c>
      <c r="F169" s="50">
        <v>0.57810000000000006</v>
      </c>
      <c r="G169" s="50">
        <v>0.28904999999999997</v>
      </c>
      <c r="H169" s="54">
        <v>10.694850000000001</v>
      </c>
      <c r="I169" s="65">
        <v>1.8</v>
      </c>
      <c r="J169" s="54">
        <v>8.5558800000000002</v>
      </c>
      <c r="K169" s="76">
        <v>19.250730000000001</v>
      </c>
    </row>
    <row r="170" spans="1:11">
      <c r="A170" s="47" t="s">
        <v>446</v>
      </c>
      <c r="B170" s="47" t="s">
        <v>447</v>
      </c>
      <c r="C170" s="52" t="s">
        <v>405</v>
      </c>
      <c r="D170" s="55">
        <v>71038</v>
      </c>
      <c r="E170" s="81">
        <v>0.55000000000000004</v>
      </c>
      <c r="F170" s="50">
        <v>0.52270000000000005</v>
      </c>
      <c r="G170" s="50">
        <v>0.28748499999999999</v>
      </c>
      <c r="H170" s="54">
        <v>10.636945000000001</v>
      </c>
      <c r="I170" s="65">
        <v>1.8</v>
      </c>
      <c r="J170" s="54">
        <v>8.5095560000000017</v>
      </c>
      <c r="K170" s="76">
        <v>19.146501000000001</v>
      </c>
    </row>
    <row r="171" spans="1:11">
      <c r="A171" s="47" t="s">
        <v>344</v>
      </c>
      <c r="B171" s="47" t="s">
        <v>345</v>
      </c>
      <c r="C171" s="52" t="s">
        <v>303</v>
      </c>
      <c r="D171" s="55">
        <v>92773</v>
      </c>
      <c r="E171" s="81">
        <v>0.55000000000000004</v>
      </c>
      <c r="F171" s="50">
        <v>0.62719999999999998</v>
      </c>
      <c r="G171" s="50">
        <v>0.34495999999999999</v>
      </c>
      <c r="H171" s="54">
        <v>12.76352</v>
      </c>
      <c r="I171" s="65">
        <v>1.5</v>
      </c>
      <c r="J171" s="54">
        <v>6.3817600000000008</v>
      </c>
      <c r="K171" s="76">
        <v>19.14528</v>
      </c>
    </row>
    <row r="172" spans="1:11">
      <c r="A172" s="47" t="s">
        <v>340</v>
      </c>
      <c r="B172" s="47" t="s">
        <v>341</v>
      </c>
      <c r="C172" s="52" t="s">
        <v>303</v>
      </c>
      <c r="D172" s="55">
        <v>92773</v>
      </c>
      <c r="E172" s="81">
        <v>0.55000000000000004</v>
      </c>
      <c r="F172" s="50">
        <v>0.62709999999999999</v>
      </c>
      <c r="G172" s="50">
        <v>0.34490500000000002</v>
      </c>
      <c r="H172" s="54">
        <v>12.761485</v>
      </c>
      <c r="I172" s="65">
        <v>1.5</v>
      </c>
      <c r="J172" s="54">
        <v>6.3807425000000002</v>
      </c>
      <c r="K172" s="76">
        <v>19.142227500000001</v>
      </c>
    </row>
    <row r="173" spans="1:11">
      <c r="A173" s="47" t="s">
        <v>587</v>
      </c>
      <c r="B173" s="47" t="s">
        <v>588</v>
      </c>
      <c r="C173" s="52" t="s">
        <v>568</v>
      </c>
      <c r="D173" s="55">
        <v>71615</v>
      </c>
      <c r="E173" s="81">
        <v>0.55000000000000004</v>
      </c>
      <c r="F173" s="50">
        <v>0.627</v>
      </c>
      <c r="G173" s="50">
        <v>0.34484999999999999</v>
      </c>
      <c r="H173" s="54">
        <v>12.759449999999999</v>
      </c>
      <c r="I173" s="65">
        <v>1.5</v>
      </c>
      <c r="J173" s="54">
        <v>6.3797250000000014</v>
      </c>
      <c r="K173" s="76">
        <v>19.139175000000002</v>
      </c>
    </row>
    <row r="174" spans="1:11">
      <c r="A174" s="47" t="s">
        <v>316</v>
      </c>
      <c r="B174" s="47" t="s">
        <v>317</v>
      </c>
      <c r="C174" s="52" t="s">
        <v>303</v>
      </c>
      <c r="D174" s="55">
        <v>92773</v>
      </c>
      <c r="E174" s="81">
        <v>0.55000000000000004</v>
      </c>
      <c r="F174" s="50">
        <v>0.62690000000000001</v>
      </c>
      <c r="G174" s="50">
        <v>0.34479500000000002</v>
      </c>
      <c r="H174" s="54">
        <v>12.757415</v>
      </c>
      <c r="I174" s="65">
        <v>1.5</v>
      </c>
      <c r="J174" s="54">
        <v>6.3787075</v>
      </c>
      <c r="K174" s="76">
        <v>19.136122499999999</v>
      </c>
    </row>
    <row r="175" spans="1:11">
      <c r="A175" s="47" t="s">
        <v>293</v>
      </c>
      <c r="B175" s="47" t="s">
        <v>294</v>
      </c>
      <c r="C175" s="52" t="s">
        <v>264</v>
      </c>
      <c r="D175" s="55">
        <v>167737</v>
      </c>
      <c r="E175" s="81">
        <v>0.5</v>
      </c>
      <c r="F175" s="50">
        <v>0.57440000000000002</v>
      </c>
      <c r="G175" s="50">
        <v>0.28720000000000001</v>
      </c>
      <c r="H175" s="54">
        <v>10.6264</v>
      </c>
      <c r="I175" s="65">
        <v>1.8</v>
      </c>
      <c r="J175" s="54">
        <v>8.5011200000000002</v>
      </c>
      <c r="K175" s="76">
        <v>19.127520000000001</v>
      </c>
    </row>
    <row r="176" spans="1:11">
      <c r="A176" s="47" t="s">
        <v>452</v>
      </c>
      <c r="B176" s="47" t="s">
        <v>453</v>
      </c>
      <c r="C176" s="52" t="s">
        <v>405</v>
      </c>
      <c r="D176" s="55">
        <v>71038</v>
      </c>
      <c r="E176" s="81">
        <v>0.55000000000000004</v>
      </c>
      <c r="F176" s="50">
        <v>0.51819999999999999</v>
      </c>
      <c r="G176" s="50">
        <v>0.28500999999999999</v>
      </c>
      <c r="H176" s="54">
        <v>10.54537</v>
      </c>
      <c r="I176" s="65">
        <v>1.8</v>
      </c>
      <c r="J176" s="54">
        <v>8.4362960000000022</v>
      </c>
      <c r="K176" s="76">
        <v>18.981666000000001</v>
      </c>
    </row>
    <row r="177" spans="1:11">
      <c r="A177" s="47" t="s">
        <v>629</v>
      </c>
      <c r="B177" s="47" t="s">
        <v>630</v>
      </c>
      <c r="C177" s="52" t="s">
        <v>606</v>
      </c>
      <c r="D177" s="55">
        <v>40786</v>
      </c>
      <c r="E177" s="81">
        <v>0.5</v>
      </c>
      <c r="F177" s="50">
        <v>0.51259999999999994</v>
      </c>
      <c r="G177" s="50">
        <v>0.25629999999999997</v>
      </c>
      <c r="H177" s="54">
        <v>9.4830999999999985</v>
      </c>
      <c r="I177" s="72">
        <v>2</v>
      </c>
      <c r="J177" s="54">
        <v>9.4830999999999985</v>
      </c>
      <c r="K177" s="76">
        <v>18.966200000000001</v>
      </c>
    </row>
    <row r="178" spans="1:11">
      <c r="A178" s="47" t="s">
        <v>577</v>
      </c>
      <c r="B178" s="47" t="s">
        <v>578</v>
      </c>
      <c r="C178" s="52" t="s">
        <v>568</v>
      </c>
      <c r="D178" s="55">
        <v>71615</v>
      </c>
      <c r="E178" s="81">
        <v>0.55000000000000004</v>
      </c>
      <c r="F178" s="50">
        <v>0.61890000000000001</v>
      </c>
      <c r="G178" s="50">
        <v>0.340395</v>
      </c>
      <c r="H178" s="54">
        <v>12.594614999999999</v>
      </c>
      <c r="I178" s="65">
        <v>1.5</v>
      </c>
      <c r="J178" s="54">
        <v>6.2973075000000014</v>
      </c>
      <c r="K178" s="76">
        <v>18.8919225</v>
      </c>
    </row>
    <row r="179" spans="1:11">
      <c r="A179" s="47" t="s">
        <v>328</v>
      </c>
      <c r="B179" s="47" t="s">
        <v>329</v>
      </c>
      <c r="C179" s="52" t="s">
        <v>303</v>
      </c>
      <c r="D179" s="55">
        <v>92773</v>
      </c>
      <c r="E179" s="81">
        <v>0.55000000000000004</v>
      </c>
      <c r="F179" s="50">
        <v>0.61780000000000002</v>
      </c>
      <c r="G179" s="50">
        <v>0.33978999999999998</v>
      </c>
      <c r="H179" s="54">
        <v>12.572229999999999</v>
      </c>
      <c r="I179" s="65">
        <v>1.5</v>
      </c>
      <c r="J179" s="54">
        <v>6.2861150000000006</v>
      </c>
      <c r="K179" s="76">
        <v>18.858345</v>
      </c>
    </row>
    <row r="180" spans="1:11">
      <c r="A180" s="47" t="s">
        <v>334</v>
      </c>
      <c r="B180" s="47" t="s">
        <v>335</v>
      </c>
      <c r="C180" s="52" t="s">
        <v>303</v>
      </c>
      <c r="D180" s="55">
        <v>92773</v>
      </c>
      <c r="E180" s="81">
        <v>0.55000000000000004</v>
      </c>
      <c r="F180" s="50">
        <v>0.61380000000000001</v>
      </c>
      <c r="G180" s="50">
        <v>0.33759000000000011</v>
      </c>
      <c r="H180" s="54">
        <v>12.490830000000001</v>
      </c>
      <c r="I180" s="65">
        <v>1.5</v>
      </c>
      <c r="J180" s="54">
        <v>6.2454150000000013</v>
      </c>
      <c r="K180" s="76">
        <v>18.736245</v>
      </c>
    </row>
    <row r="181" spans="1:11">
      <c r="A181" s="47" t="s">
        <v>312</v>
      </c>
      <c r="B181" s="47" t="s">
        <v>313</v>
      </c>
      <c r="C181" s="52" t="s">
        <v>303</v>
      </c>
      <c r="D181" s="55">
        <v>92773</v>
      </c>
      <c r="E181" s="81">
        <v>0.55000000000000004</v>
      </c>
      <c r="F181" s="50">
        <v>0.61059999999999992</v>
      </c>
      <c r="G181" s="50">
        <v>0.33583000000000002</v>
      </c>
      <c r="H181" s="54">
        <v>12.42571</v>
      </c>
      <c r="I181" s="65">
        <v>1.5</v>
      </c>
      <c r="J181" s="54">
        <v>6.2128549999999994</v>
      </c>
      <c r="K181" s="76">
        <v>18.638565</v>
      </c>
    </row>
    <row r="182" spans="1:11">
      <c r="A182" s="47" t="s">
        <v>306</v>
      </c>
      <c r="B182" s="47" t="s">
        <v>307</v>
      </c>
      <c r="C182" s="52" t="s">
        <v>303</v>
      </c>
      <c r="D182" s="55">
        <v>92773</v>
      </c>
      <c r="E182" s="81">
        <v>0.55000000000000004</v>
      </c>
      <c r="F182" s="50">
        <v>0.6099</v>
      </c>
      <c r="G182" s="50">
        <v>0.33544499999999999</v>
      </c>
      <c r="H182" s="54">
        <v>12.411465</v>
      </c>
      <c r="I182" s="65">
        <v>1.5</v>
      </c>
      <c r="J182" s="54">
        <v>6.2057325000000008</v>
      </c>
      <c r="K182" s="76">
        <v>18.6171975</v>
      </c>
    </row>
    <row r="183" spans="1:11">
      <c r="A183" s="47" t="s">
        <v>581</v>
      </c>
      <c r="B183" s="47" t="s">
        <v>582</v>
      </c>
      <c r="C183" s="52" t="s">
        <v>568</v>
      </c>
      <c r="D183" s="55">
        <v>71615</v>
      </c>
      <c r="E183" s="81">
        <v>0.55000000000000004</v>
      </c>
      <c r="F183" s="50">
        <v>0.6069</v>
      </c>
      <c r="G183" s="50">
        <v>0.33379500000000001</v>
      </c>
      <c r="H183" s="54">
        <v>12.350415</v>
      </c>
      <c r="I183" s="65">
        <v>1.5</v>
      </c>
      <c r="J183" s="54">
        <v>6.1752075</v>
      </c>
      <c r="K183" s="76">
        <v>18.525622500000001</v>
      </c>
    </row>
    <row r="184" spans="1:11">
      <c r="A184" s="47" t="s">
        <v>958</v>
      </c>
      <c r="B184" s="47" t="s">
        <v>959</v>
      </c>
      <c r="C184" s="52" t="s">
        <v>960</v>
      </c>
      <c r="D184" s="55">
        <v>92667</v>
      </c>
      <c r="E184" s="81">
        <v>0.48</v>
      </c>
      <c r="F184" s="50">
        <v>0.7964</v>
      </c>
      <c r="G184" s="50">
        <v>0.382272</v>
      </c>
      <c r="H184" s="54">
        <v>14.144064</v>
      </c>
      <c r="I184" s="65">
        <v>1.3</v>
      </c>
      <c r="J184" s="54">
        <v>4.2432192000000004</v>
      </c>
      <c r="K184" s="76">
        <v>18.387283199999999</v>
      </c>
    </row>
    <row r="185" spans="1:11">
      <c r="A185" s="47" t="s">
        <v>332</v>
      </c>
      <c r="B185" s="47" t="s">
        <v>333</v>
      </c>
      <c r="C185" s="52" t="s">
        <v>303</v>
      </c>
      <c r="D185" s="55">
        <v>92773</v>
      </c>
      <c r="E185" s="81">
        <v>0.55000000000000004</v>
      </c>
      <c r="F185" s="50">
        <v>0.60060000000000002</v>
      </c>
      <c r="G185" s="50">
        <v>0.33033000000000001</v>
      </c>
      <c r="H185" s="54">
        <v>12.22221</v>
      </c>
      <c r="I185" s="65">
        <v>1.5</v>
      </c>
      <c r="J185" s="54">
        <v>6.1111050000000002</v>
      </c>
      <c r="K185" s="76">
        <v>18.333314999999999</v>
      </c>
    </row>
    <row r="186" spans="1:11">
      <c r="A186" s="47" t="s">
        <v>320</v>
      </c>
      <c r="B186" s="47" t="s">
        <v>321</v>
      </c>
      <c r="C186" s="52" t="s">
        <v>303</v>
      </c>
      <c r="D186" s="55">
        <v>92773</v>
      </c>
      <c r="E186" s="81">
        <v>0.55000000000000004</v>
      </c>
      <c r="F186" s="50">
        <v>0.59960000000000002</v>
      </c>
      <c r="G186" s="50">
        <v>0.32978000000000002</v>
      </c>
      <c r="H186" s="54">
        <v>12.20186</v>
      </c>
      <c r="I186" s="65">
        <v>1.5</v>
      </c>
      <c r="J186" s="54">
        <v>6.10093</v>
      </c>
      <c r="K186" s="76">
        <v>18.302790000000002</v>
      </c>
    </row>
    <row r="187" spans="1:11">
      <c r="A187" s="47" t="s">
        <v>636</v>
      </c>
      <c r="B187" s="47" t="s">
        <v>637</v>
      </c>
      <c r="C187" s="52" t="s">
        <v>635</v>
      </c>
      <c r="D187" s="55">
        <v>64618</v>
      </c>
      <c r="E187" s="81">
        <v>0.5</v>
      </c>
      <c r="F187" s="50">
        <v>0.54720000000000002</v>
      </c>
      <c r="G187" s="50">
        <v>0.27360000000000001</v>
      </c>
      <c r="H187" s="54">
        <v>10.123200000000001</v>
      </c>
      <c r="I187" s="65">
        <v>1.8</v>
      </c>
      <c r="J187" s="54">
        <v>8.0985600000000009</v>
      </c>
      <c r="K187" s="76">
        <v>18.22176</v>
      </c>
    </row>
    <row r="188" spans="1:11">
      <c r="A188" s="47" t="s">
        <v>585</v>
      </c>
      <c r="B188" s="47" t="s">
        <v>586</v>
      </c>
      <c r="C188" s="52" t="s">
        <v>568</v>
      </c>
      <c r="D188" s="55">
        <v>71615</v>
      </c>
      <c r="E188" s="81">
        <v>0.55000000000000004</v>
      </c>
      <c r="F188" s="50">
        <v>0.59499999999999997</v>
      </c>
      <c r="G188" s="50">
        <v>0.32724999999999999</v>
      </c>
      <c r="H188" s="54">
        <v>12.10825</v>
      </c>
      <c r="I188" s="65">
        <v>1.5</v>
      </c>
      <c r="J188" s="54">
        <v>6.054125</v>
      </c>
      <c r="K188" s="76">
        <v>18.162375000000001</v>
      </c>
    </row>
    <row r="189" spans="1:11">
      <c r="A189" s="47" t="s">
        <v>322</v>
      </c>
      <c r="B189" s="47" t="s">
        <v>323</v>
      </c>
      <c r="C189" s="52" t="s">
        <v>303</v>
      </c>
      <c r="D189" s="55">
        <v>92773</v>
      </c>
      <c r="E189" s="81">
        <v>0.55000000000000004</v>
      </c>
      <c r="F189" s="50">
        <v>0.5948</v>
      </c>
      <c r="G189" s="50">
        <v>0.32713999999999999</v>
      </c>
      <c r="H189" s="54">
        <v>12.104179999999999</v>
      </c>
      <c r="I189" s="65">
        <v>1.5</v>
      </c>
      <c r="J189" s="54">
        <v>6.0520900000000006</v>
      </c>
      <c r="K189" s="76">
        <v>18.156269999999999</v>
      </c>
    </row>
    <row r="190" spans="1:11">
      <c r="A190" s="47" t="s">
        <v>961</v>
      </c>
      <c r="B190" s="47" t="s">
        <v>962</v>
      </c>
      <c r="C190" s="52" t="s">
        <v>960</v>
      </c>
      <c r="D190" s="55">
        <v>92667</v>
      </c>
      <c r="E190" s="81">
        <v>0.48</v>
      </c>
      <c r="F190" s="50">
        <v>0.78039999999999987</v>
      </c>
      <c r="G190" s="50">
        <v>0.37459199999999993</v>
      </c>
      <c r="H190" s="54">
        <v>13.859904</v>
      </c>
      <c r="I190" s="65">
        <v>1.3</v>
      </c>
      <c r="J190" s="54">
        <v>4.1579712000000004</v>
      </c>
      <c r="K190" s="76">
        <v>18.017875199999999</v>
      </c>
    </row>
    <row r="191" spans="1:11">
      <c r="A191" s="47" t="s">
        <v>318</v>
      </c>
      <c r="B191" s="47" t="s">
        <v>319</v>
      </c>
      <c r="C191" s="52" t="s">
        <v>303</v>
      </c>
      <c r="D191" s="55">
        <v>92773</v>
      </c>
      <c r="E191" s="81">
        <v>0.55000000000000004</v>
      </c>
      <c r="F191" s="50">
        <v>0.58879999999999999</v>
      </c>
      <c r="G191" s="50">
        <v>0.32384000000000002</v>
      </c>
      <c r="H191" s="54">
        <v>11.98208</v>
      </c>
      <c r="I191" s="65">
        <v>1.5</v>
      </c>
      <c r="J191" s="54">
        <v>5.9910399999999999</v>
      </c>
      <c r="K191" s="76">
        <v>17.973120000000002</v>
      </c>
    </row>
    <row r="192" spans="1:11">
      <c r="A192" s="47" t="s">
        <v>408</v>
      </c>
      <c r="B192" s="47" t="s">
        <v>409</v>
      </c>
      <c r="C192" s="52" t="s">
        <v>405</v>
      </c>
      <c r="D192" s="55">
        <v>71038</v>
      </c>
      <c r="E192" s="81">
        <v>0.55000000000000004</v>
      </c>
      <c r="F192" s="50">
        <v>0.49030000000000001</v>
      </c>
      <c r="G192" s="50">
        <v>0.26966499999999999</v>
      </c>
      <c r="H192" s="54">
        <v>9.9776050000000023</v>
      </c>
      <c r="I192" s="65">
        <v>1.8</v>
      </c>
      <c r="J192" s="54">
        <v>7.9820840000000022</v>
      </c>
      <c r="K192" s="76">
        <v>17.959689000000001</v>
      </c>
    </row>
    <row r="193" spans="1:11">
      <c r="A193" s="47" t="s">
        <v>933</v>
      </c>
      <c r="B193" s="47" t="s">
        <v>934</v>
      </c>
      <c r="C193" s="52" t="s">
        <v>930</v>
      </c>
      <c r="D193" s="55">
        <v>109800</v>
      </c>
      <c r="E193" s="81">
        <v>0.52</v>
      </c>
      <c r="F193" s="50">
        <v>0.71719999999999995</v>
      </c>
      <c r="G193" s="50">
        <v>0.372944</v>
      </c>
      <c r="H193" s="54">
        <v>13.798928</v>
      </c>
      <c r="I193" s="65">
        <v>1.3</v>
      </c>
      <c r="J193" s="54">
        <v>4.1396784000000002</v>
      </c>
      <c r="K193" s="76">
        <v>17.938606400000001</v>
      </c>
    </row>
    <row r="194" spans="1:11">
      <c r="A194" s="47" t="s">
        <v>324</v>
      </c>
      <c r="B194" s="47" t="s">
        <v>325</v>
      </c>
      <c r="C194" s="52" t="s">
        <v>303</v>
      </c>
      <c r="D194" s="55">
        <v>92773</v>
      </c>
      <c r="E194" s="81">
        <v>0.55000000000000004</v>
      </c>
      <c r="F194" s="50">
        <v>0.58460000000000001</v>
      </c>
      <c r="G194" s="50">
        <v>0.32152999999999998</v>
      </c>
      <c r="H194" s="54">
        <v>11.896610000000001</v>
      </c>
      <c r="I194" s="65">
        <v>1.5</v>
      </c>
      <c r="J194" s="54">
        <v>5.9483050000000004</v>
      </c>
      <c r="K194" s="76">
        <v>17.844915</v>
      </c>
    </row>
    <row r="195" spans="1:11">
      <c r="A195" s="47" t="s">
        <v>308</v>
      </c>
      <c r="B195" s="47" t="s">
        <v>309</v>
      </c>
      <c r="C195" s="52" t="s">
        <v>303</v>
      </c>
      <c r="D195" s="55">
        <v>92773</v>
      </c>
      <c r="E195" s="81">
        <v>0.55000000000000004</v>
      </c>
      <c r="F195" s="50">
        <v>0.57729999999999992</v>
      </c>
      <c r="G195" s="50">
        <v>0.31751499999999999</v>
      </c>
      <c r="H195" s="54">
        <v>11.748055000000001</v>
      </c>
      <c r="I195" s="65">
        <v>1.5</v>
      </c>
      <c r="J195" s="54">
        <v>5.8740275000000004</v>
      </c>
      <c r="K195" s="76">
        <v>17.622082500000001</v>
      </c>
    </row>
    <row r="196" spans="1:11">
      <c r="A196" s="47" t="s">
        <v>310</v>
      </c>
      <c r="B196" s="47" t="s">
        <v>311</v>
      </c>
      <c r="C196" s="52" t="s">
        <v>303</v>
      </c>
      <c r="D196" s="55">
        <v>92773</v>
      </c>
      <c r="E196" s="81">
        <v>0.55000000000000004</v>
      </c>
      <c r="F196" s="50">
        <v>0.57729999999999992</v>
      </c>
      <c r="G196" s="50">
        <v>0.31751499999999999</v>
      </c>
      <c r="H196" s="54">
        <v>11.748055000000001</v>
      </c>
      <c r="I196" s="65">
        <v>1.5</v>
      </c>
      <c r="J196" s="54">
        <v>5.8740275000000004</v>
      </c>
      <c r="K196" s="76">
        <v>17.622082500000001</v>
      </c>
    </row>
    <row r="197" spans="1:11">
      <c r="A197" s="47" t="s">
        <v>330</v>
      </c>
      <c r="B197" s="47" t="s">
        <v>331</v>
      </c>
      <c r="C197" s="52" t="s">
        <v>303</v>
      </c>
      <c r="D197" s="55">
        <v>92773</v>
      </c>
      <c r="E197" s="81">
        <v>0.55000000000000004</v>
      </c>
      <c r="F197" s="50">
        <v>0.57430000000000003</v>
      </c>
      <c r="G197" s="50">
        <v>0.31586500000000012</v>
      </c>
      <c r="H197" s="54">
        <v>11.687004999999999</v>
      </c>
      <c r="I197" s="65">
        <v>1.5</v>
      </c>
      <c r="J197" s="54">
        <v>5.8435025000000014</v>
      </c>
      <c r="K197" s="76">
        <v>17.530507500000009</v>
      </c>
    </row>
    <row r="198" spans="1:11">
      <c r="A198" s="47" t="s">
        <v>583</v>
      </c>
      <c r="B198" s="47" t="s">
        <v>584</v>
      </c>
      <c r="C198" s="52" t="s">
        <v>568</v>
      </c>
      <c r="D198" s="55">
        <v>71615</v>
      </c>
      <c r="E198" s="81">
        <v>0.55000000000000004</v>
      </c>
      <c r="F198" s="50">
        <v>0.57279999999999998</v>
      </c>
      <c r="G198" s="50">
        <v>0.31503999999999999</v>
      </c>
      <c r="H198" s="54">
        <v>11.65648</v>
      </c>
      <c r="I198" s="65">
        <v>1.5</v>
      </c>
      <c r="J198" s="54">
        <v>5.8282400000000001</v>
      </c>
      <c r="K198" s="76">
        <v>17.484719999999999</v>
      </c>
    </row>
    <row r="199" spans="1:11">
      <c r="A199" s="47" t="s">
        <v>579</v>
      </c>
      <c r="B199" s="47" t="s">
        <v>580</v>
      </c>
      <c r="C199" s="52" t="s">
        <v>568</v>
      </c>
      <c r="D199" s="55">
        <v>71615</v>
      </c>
      <c r="E199" s="81">
        <v>0.55000000000000004</v>
      </c>
      <c r="F199" s="50">
        <v>0.56340000000000001</v>
      </c>
      <c r="G199" s="50">
        <v>0.30986999999999998</v>
      </c>
      <c r="H199" s="54">
        <v>11.46519</v>
      </c>
      <c r="I199" s="65">
        <v>1.5</v>
      </c>
      <c r="J199" s="54">
        <v>5.7325950000000008</v>
      </c>
      <c r="K199" s="76">
        <v>17.197785</v>
      </c>
    </row>
    <row r="200" spans="1:11">
      <c r="A200" s="47" t="s">
        <v>969</v>
      </c>
      <c r="B200" s="47" t="s">
        <v>970</v>
      </c>
      <c r="C200" s="52" t="s">
        <v>960</v>
      </c>
      <c r="D200" s="55">
        <v>92667</v>
      </c>
      <c r="E200" s="81">
        <v>0.48</v>
      </c>
      <c r="F200" s="50">
        <v>0.74329999999999996</v>
      </c>
      <c r="G200" s="50">
        <v>0.35678399999999999</v>
      </c>
      <c r="H200" s="54">
        <v>13.201008</v>
      </c>
      <c r="I200" s="65">
        <v>1.3</v>
      </c>
      <c r="J200" s="54">
        <v>3.9603024000000011</v>
      </c>
      <c r="K200" s="76">
        <v>17.161310400000001</v>
      </c>
    </row>
    <row r="201" spans="1:11">
      <c r="A201" s="47" t="s">
        <v>575</v>
      </c>
      <c r="B201" s="47" t="s">
        <v>576</v>
      </c>
      <c r="C201" s="52" t="s">
        <v>568</v>
      </c>
      <c r="D201" s="55">
        <v>71615</v>
      </c>
      <c r="E201" s="81">
        <v>0.55000000000000004</v>
      </c>
      <c r="F201" s="50">
        <v>0.56069999999999998</v>
      </c>
      <c r="G201" s="50">
        <v>0.30838500000000002</v>
      </c>
      <c r="H201" s="54">
        <v>11.410245</v>
      </c>
      <c r="I201" s="65">
        <v>1.5</v>
      </c>
      <c r="J201" s="54">
        <v>5.7051225000000008</v>
      </c>
      <c r="K201" s="76">
        <v>17.115367500000001</v>
      </c>
    </row>
    <row r="202" spans="1:11">
      <c r="A202" s="47" t="s">
        <v>338</v>
      </c>
      <c r="B202" s="47" t="s">
        <v>339</v>
      </c>
      <c r="C202" s="52" t="s">
        <v>303</v>
      </c>
      <c r="D202" s="55">
        <v>92773</v>
      </c>
      <c r="E202" s="81">
        <v>0.55000000000000004</v>
      </c>
      <c r="F202" s="50">
        <v>0.56000000000000005</v>
      </c>
      <c r="G202" s="50">
        <v>0.30800000000000011</v>
      </c>
      <c r="H202" s="54">
        <v>11.396000000000001</v>
      </c>
      <c r="I202" s="65">
        <v>1.5</v>
      </c>
      <c r="J202" s="54">
        <v>5.6980000000000013</v>
      </c>
      <c r="K202" s="76">
        <v>17.094000000000001</v>
      </c>
    </row>
    <row r="203" spans="1:11">
      <c r="A203" s="47" t="s">
        <v>566</v>
      </c>
      <c r="B203" s="47" t="s">
        <v>567</v>
      </c>
      <c r="C203" s="52" t="s">
        <v>568</v>
      </c>
      <c r="D203" s="55">
        <v>71615</v>
      </c>
      <c r="E203" s="81">
        <v>0.55000000000000004</v>
      </c>
      <c r="F203" s="50">
        <v>0.55889999999999995</v>
      </c>
      <c r="G203" s="50">
        <v>0.30739499999999997</v>
      </c>
      <c r="H203" s="54">
        <v>11.373614999999999</v>
      </c>
      <c r="I203" s="65">
        <v>1.5</v>
      </c>
      <c r="J203" s="54">
        <v>5.6868074999999996</v>
      </c>
      <c r="K203" s="76">
        <v>17.060422500000001</v>
      </c>
    </row>
    <row r="204" spans="1:11">
      <c r="A204" s="47" t="s">
        <v>913</v>
      </c>
      <c r="B204" s="47" t="s">
        <v>914</v>
      </c>
      <c r="C204" s="52" t="s">
        <v>902</v>
      </c>
      <c r="D204" s="55">
        <v>69455</v>
      </c>
      <c r="E204" s="81">
        <v>0.55000000000000004</v>
      </c>
      <c r="F204" s="50">
        <v>0.69569999999999999</v>
      </c>
      <c r="G204" s="50">
        <v>0.382635</v>
      </c>
      <c r="H204" s="54">
        <v>14.157495000000001</v>
      </c>
      <c r="I204" s="65">
        <v>1.2</v>
      </c>
      <c r="J204" s="54">
        <v>2.831499</v>
      </c>
      <c r="K204" s="76">
        <v>16.988994000000002</v>
      </c>
    </row>
    <row r="205" spans="1:11">
      <c r="A205" s="47" t="s">
        <v>751</v>
      </c>
      <c r="B205" s="47" t="s">
        <v>752</v>
      </c>
      <c r="C205" s="52" t="s">
        <v>744</v>
      </c>
      <c r="D205" s="55">
        <v>107857</v>
      </c>
      <c r="E205" s="81">
        <v>0.48</v>
      </c>
      <c r="F205" s="50">
        <v>0.77700000000000002</v>
      </c>
      <c r="G205" s="50">
        <v>0.37296000000000001</v>
      </c>
      <c r="H205" s="54">
        <v>13.799519999999999</v>
      </c>
      <c r="I205" s="65">
        <v>1.2</v>
      </c>
      <c r="J205" s="54">
        <v>2.7599040000000001</v>
      </c>
      <c r="K205" s="76">
        <v>16.559424</v>
      </c>
    </row>
    <row r="206" spans="1:11">
      <c r="A206" s="47" t="s">
        <v>573</v>
      </c>
      <c r="B206" s="47" t="s">
        <v>574</v>
      </c>
      <c r="C206" s="52" t="s">
        <v>568</v>
      </c>
      <c r="D206" s="55">
        <v>71615</v>
      </c>
      <c r="E206" s="81">
        <v>0.55000000000000004</v>
      </c>
      <c r="F206" s="50">
        <v>0.54199999999999993</v>
      </c>
      <c r="G206" s="50">
        <v>0.29809999999999998</v>
      </c>
      <c r="H206" s="54">
        <v>11.0297</v>
      </c>
      <c r="I206" s="65">
        <v>1.5</v>
      </c>
      <c r="J206" s="54">
        <v>5.5148499999999991</v>
      </c>
      <c r="K206" s="76">
        <v>16.544550000000001</v>
      </c>
    </row>
    <row r="207" spans="1:11">
      <c r="A207" s="47" t="s">
        <v>569</v>
      </c>
      <c r="B207" s="47" t="s">
        <v>570</v>
      </c>
      <c r="C207" s="52" t="s">
        <v>568</v>
      </c>
      <c r="D207" s="55">
        <v>71615</v>
      </c>
      <c r="E207" s="81">
        <v>0.55000000000000004</v>
      </c>
      <c r="F207" s="50">
        <v>0.54</v>
      </c>
      <c r="G207" s="50">
        <v>0.29699999999999999</v>
      </c>
      <c r="H207" s="54">
        <v>10.989000000000001</v>
      </c>
      <c r="I207" s="65">
        <v>1.5</v>
      </c>
      <c r="J207" s="54">
        <v>5.4945000000000004</v>
      </c>
      <c r="K207" s="76">
        <v>16.483499999999999</v>
      </c>
    </row>
    <row r="208" spans="1:11">
      <c r="A208" s="47" t="s">
        <v>742</v>
      </c>
      <c r="B208" s="47" t="s">
        <v>743</v>
      </c>
      <c r="C208" s="52" t="s">
        <v>744</v>
      </c>
      <c r="D208" s="55">
        <v>107857</v>
      </c>
      <c r="E208" s="81">
        <v>0.48</v>
      </c>
      <c r="F208" s="50">
        <v>0.76840000000000008</v>
      </c>
      <c r="G208" s="50">
        <v>0.36883199999999999</v>
      </c>
      <c r="H208" s="54">
        <v>13.646784</v>
      </c>
      <c r="I208" s="65">
        <v>1.2</v>
      </c>
      <c r="J208" s="54">
        <v>2.7293568000000001</v>
      </c>
      <c r="K208" s="76">
        <v>16.376140800000002</v>
      </c>
    </row>
    <row r="209" spans="1:11">
      <c r="A209" s="47" t="s">
        <v>710</v>
      </c>
      <c r="B209" s="47" t="s">
        <v>711</v>
      </c>
      <c r="C209" s="52" t="s">
        <v>703</v>
      </c>
      <c r="D209" s="55">
        <v>117750</v>
      </c>
      <c r="E209" s="81">
        <v>0.48</v>
      </c>
      <c r="F209" s="50">
        <v>0.76629999999999998</v>
      </c>
      <c r="G209" s="50">
        <v>0.36782399999999998</v>
      </c>
      <c r="H209" s="54">
        <v>13.609488000000001</v>
      </c>
      <c r="I209" s="65">
        <v>1.2</v>
      </c>
      <c r="J209" s="54">
        <v>2.7218975999999988</v>
      </c>
      <c r="K209" s="76">
        <v>16.331385600000001</v>
      </c>
    </row>
    <row r="210" spans="1:11">
      <c r="A210" s="47" t="s">
        <v>609</v>
      </c>
      <c r="B210" s="47" t="s">
        <v>610</v>
      </c>
      <c r="C210" s="52" t="s">
        <v>606</v>
      </c>
      <c r="D210" s="55">
        <v>40786</v>
      </c>
      <c r="E210" s="81">
        <v>0.5</v>
      </c>
      <c r="F210" s="50">
        <v>0.44090000000000001</v>
      </c>
      <c r="G210" s="50">
        <v>0.22045000000000001</v>
      </c>
      <c r="H210" s="54">
        <v>8.1566499999999991</v>
      </c>
      <c r="I210" s="72">
        <v>2</v>
      </c>
      <c r="J210" s="54">
        <v>8.1566499999999991</v>
      </c>
      <c r="K210" s="76">
        <v>16.313300000000002</v>
      </c>
    </row>
    <row r="211" spans="1:11">
      <c r="A211" s="47" t="s">
        <v>745</v>
      </c>
      <c r="B211" s="47" t="s">
        <v>746</v>
      </c>
      <c r="C211" s="52" t="s">
        <v>744</v>
      </c>
      <c r="D211" s="55">
        <v>107857</v>
      </c>
      <c r="E211" s="81">
        <v>0.48</v>
      </c>
      <c r="F211" s="50">
        <v>0.76489999999999991</v>
      </c>
      <c r="G211" s="50">
        <v>0.36715199999999992</v>
      </c>
      <c r="H211" s="54">
        <v>13.584624</v>
      </c>
      <c r="I211" s="65">
        <v>1.2</v>
      </c>
      <c r="J211" s="54">
        <v>2.7169247999999988</v>
      </c>
      <c r="K211" s="76">
        <v>16.301548799999999</v>
      </c>
    </row>
    <row r="212" spans="1:11">
      <c r="A212" s="47" t="s">
        <v>943</v>
      </c>
      <c r="B212" s="47" t="s">
        <v>944</v>
      </c>
      <c r="C212" s="52" t="s">
        <v>930</v>
      </c>
      <c r="D212" s="55">
        <v>109800</v>
      </c>
      <c r="E212" s="81">
        <v>0.52</v>
      </c>
      <c r="F212" s="50">
        <v>0.6512</v>
      </c>
      <c r="G212" s="50">
        <v>0.33862399999999998</v>
      </c>
      <c r="H212" s="54">
        <v>12.529088</v>
      </c>
      <c r="I212" s="65">
        <v>1.3</v>
      </c>
      <c r="J212" s="54">
        <v>3.7587264000000009</v>
      </c>
      <c r="K212" s="76">
        <v>16.287814399999998</v>
      </c>
    </row>
    <row r="213" spans="1:11">
      <c r="A213" s="47" t="s">
        <v>755</v>
      </c>
      <c r="B213" s="47" t="s">
        <v>756</v>
      </c>
      <c r="C213" s="52" t="s">
        <v>744</v>
      </c>
      <c r="D213" s="55">
        <v>107857</v>
      </c>
      <c r="E213" s="81">
        <v>0.48</v>
      </c>
      <c r="F213" s="50">
        <v>0.76349999999999996</v>
      </c>
      <c r="G213" s="50">
        <v>0.36647999999999997</v>
      </c>
      <c r="H213" s="54">
        <v>13.559760000000001</v>
      </c>
      <c r="I213" s="65">
        <v>1.2</v>
      </c>
      <c r="J213" s="54">
        <v>2.7119519999999988</v>
      </c>
      <c r="K213" s="76">
        <v>16.271712000000001</v>
      </c>
    </row>
    <row r="214" spans="1:11">
      <c r="A214" s="47" t="s">
        <v>631</v>
      </c>
      <c r="B214" s="47" t="s">
        <v>632</v>
      </c>
      <c r="C214" s="52" t="s">
        <v>606</v>
      </c>
      <c r="D214" s="55">
        <v>40786</v>
      </c>
      <c r="E214" s="81">
        <v>0.5</v>
      </c>
      <c r="F214" s="50">
        <v>0.43919999999999998</v>
      </c>
      <c r="G214" s="50">
        <v>0.21959999999999999</v>
      </c>
      <c r="H214" s="54">
        <v>8.1252000000000013</v>
      </c>
      <c r="I214" s="72">
        <v>2</v>
      </c>
      <c r="J214" s="54">
        <v>8.1252000000000013</v>
      </c>
      <c r="K214" s="76">
        <v>16.250399999999999</v>
      </c>
    </row>
    <row r="215" spans="1:11">
      <c r="A215" s="47" t="s">
        <v>596</v>
      </c>
      <c r="B215" s="47" t="s">
        <v>597</v>
      </c>
      <c r="C215" s="52" t="s">
        <v>595</v>
      </c>
      <c r="D215" s="55">
        <v>87600</v>
      </c>
      <c r="E215" s="81">
        <v>0.55000000000000004</v>
      </c>
      <c r="F215" s="50">
        <v>0.61299999999999999</v>
      </c>
      <c r="G215" s="50">
        <v>0.33715000000000001</v>
      </c>
      <c r="H215" s="54">
        <v>12.474550000000001</v>
      </c>
      <c r="I215" s="65">
        <v>1.3</v>
      </c>
      <c r="J215" s="54">
        <v>3.7423650000000008</v>
      </c>
      <c r="K215" s="76">
        <v>16.216915</v>
      </c>
    </row>
    <row r="216" spans="1:11">
      <c r="A216" s="47" t="s">
        <v>712</v>
      </c>
      <c r="B216" s="47" t="s">
        <v>713</v>
      </c>
      <c r="C216" s="52" t="s">
        <v>703</v>
      </c>
      <c r="D216" s="55">
        <v>117750</v>
      </c>
      <c r="E216" s="81">
        <v>0.48</v>
      </c>
      <c r="F216" s="50">
        <v>0.75959999999999994</v>
      </c>
      <c r="G216" s="50">
        <v>0.36460799999999988</v>
      </c>
      <c r="H216" s="54">
        <v>13.490496</v>
      </c>
      <c r="I216" s="65">
        <v>1.2</v>
      </c>
      <c r="J216" s="54">
        <v>2.6980991999999988</v>
      </c>
      <c r="K216" s="76">
        <v>16.188595199999991</v>
      </c>
    </row>
    <row r="217" spans="1:11">
      <c r="A217" s="47" t="s">
        <v>965</v>
      </c>
      <c r="B217" s="47" t="s">
        <v>966</v>
      </c>
      <c r="C217" s="52" t="s">
        <v>960</v>
      </c>
      <c r="D217" s="55">
        <v>92667</v>
      </c>
      <c r="E217" s="81">
        <v>0.48</v>
      </c>
      <c r="F217" s="50">
        <v>0.69409999999999994</v>
      </c>
      <c r="G217" s="50">
        <v>0.33316800000000002</v>
      </c>
      <c r="H217" s="54">
        <v>12.327216</v>
      </c>
      <c r="I217" s="65">
        <v>1.3</v>
      </c>
      <c r="J217" s="54">
        <v>3.6981647999999998</v>
      </c>
      <c r="K217" s="76">
        <v>16.025380800000001</v>
      </c>
    </row>
    <row r="218" spans="1:11">
      <c r="A218" s="47" t="s">
        <v>716</v>
      </c>
      <c r="B218" s="47" t="s">
        <v>717</v>
      </c>
      <c r="C218" s="52" t="s">
        <v>703</v>
      </c>
      <c r="D218" s="55">
        <v>117750</v>
      </c>
      <c r="E218" s="81">
        <v>0.48</v>
      </c>
      <c r="F218" s="50">
        <v>0.75090000000000001</v>
      </c>
      <c r="G218" s="50">
        <v>0.36043199999999997</v>
      </c>
      <c r="H218" s="54">
        <v>13.335984</v>
      </c>
      <c r="I218" s="65">
        <v>1.2</v>
      </c>
      <c r="J218" s="54">
        <v>2.6671967999999988</v>
      </c>
      <c r="K218" s="76">
        <v>16.003180799999999</v>
      </c>
    </row>
    <row r="219" spans="1:11">
      <c r="A219" s="47" t="s">
        <v>949</v>
      </c>
      <c r="B219" s="47" t="s">
        <v>950</v>
      </c>
      <c r="C219" s="52" t="s">
        <v>930</v>
      </c>
      <c r="D219" s="55">
        <v>109800</v>
      </c>
      <c r="E219" s="81">
        <v>0.52</v>
      </c>
      <c r="F219" s="50">
        <v>0.63770000000000004</v>
      </c>
      <c r="G219" s="50">
        <v>0.33160400000000001</v>
      </c>
      <c r="H219" s="54">
        <v>12.269348000000001</v>
      </c>
      <c r="I219" s="65">
        <v>1.3</v>
      </c>
      <c r="J219" s="54">
        <v>3.6808044000000009</v>
      </c>
      <c r="K219" s="76">
        <v>15.9501524</v>
      </c>
    </row>
    <row r="220" spans="1:11">
      <c r="A220" s="47" t="s">
        <v>747</v>
      </c>
      <c r="B220" s="47" t="s">
        <v>748</v>
      </c>
      <c r="C220" s="52" t="s">
        <v>744</v>
      </c>
      <c r="D220" s="55">
        <v>107857</v>
      </c>
      <c r="E220" s="81">
        <v>0.48</v>
      </c>
      <c r="F220" s="50">
        <v>0.74739999999999995</v>
      </c>
      <c r="G220" s="50">
        <v>0.35875200000000002</v>
      </c>
      <c r="H220" s="54">
        <v>13.273823999999999</v>
      </c>
      <c r="I220" s="65">
        <v>1.2</v>
      </c>
      <c r="J220" s="54">
        <v>2.6547647999999988</v>
      </c>
      <c r="K220" s="76">
        <v>15.9285888</v>
      </c>
    </row>
    <row r="221" spans="1:11">
      <c r="A221" s="47" t="s">
        <v>749</v>
      </c>
      <c r="B221" s="47" t="s">
        <v>750</v>
      </c>
      <c r="C221" s="52" t="s">
        <v>744</v>
      </c>
      <c r="D221" s="55">
        <v>107857</v>
      </c>
      <c r="E221" s="81">
        <v>0.48</v>
      </c>
      <c r="F221" s="50">
        <v>0.74250000000000005</v>
      </c>
      <c r="G221" s="50">
        <v>0.35639999999999999</v>
      </c>
      <c r="H221" s="54">
        <v>13.1868</v>
      </c>
      <c r="I221" s="65">
        <v>1.2</v>
      </c>
      <c r="J221" s="54">
        <v>2.6373599999999988</v>
      </c>
      <c r="K221" s="76">
        <v>15.824159999999999</v>
      </c>
    </row>
    <row r="222" spans="1:11">
      <c r="A222" s="47" t="s">
        <v>937</v>
      </c>
      <c r="B222" s="47" t="s">
        <v>938</v>
      </c>
      <c r="C222" s="52" t="s">
        <v>930</v>
      </c>
      <c r="D222" s="55">
        <v>109800</v>
      </c>
      <c r="E222" s="81">
        <v>0.52</v>
      </c>
      <c r="F222" s="50">
        <v>0.6321</v>
      </c>
      <c r="G222" s="50">
        <v>0.32869199999999998</v>
      </c>
      <c r="H222" s="54">
        <v>12.161604000000001</v>
      </c>
      <c r="I222" s="65">
        <v>1.3</v>
      </c>
      <c r="J222" s="54">
        <v>3.6484812</v>
      </c>
      <c r="K222" s="76">
        <v>15.8100852</v>
      </c>
    </row>
    <row r="223" spans="1:11">
      <c r="A223" s="47" t="s">
        <v>963</v>
      </c>
      <c r="B223" s="47" t="s">
        <v>964</v>
      </c>
      <c r="C223" s="52" t="s">
        <v>960</v>
      </c>
      <c r="D223" s="55">
        <v>92667</v>
      </c>
      <c r="E223" s="81">
        <v>0.48</v>
      </c>
      <c r="F223" s="50">
        <v>0.68069999999999997</v>
      </c>
      <c r="G223" s="50">
        <v>0.32673600000000003</v>
      </c>
      <c r="H223" s="54">
        <v>12.089232000000001</v>
      </c>
      <c r="I223" s="65">
        <v>1.3</v>
      </c>
      <c r="J223" s="54">
        <v>3.6267695999999998</v>
      </c>
      <c r="K223" s="76">
        <v>15.7160016</v>
      </c>
    </row>
    <row r="224" spans="1:11">
      <c r="A224" s="47" t="s">
        <v>697</v>
      </c>
      <c r="B224" s="47" t="s">
        <v>698</v>
      </c>
      <c r="C224" s="52" t="s">
        <v>635</v>
      </c>
      <c r="D224" s="55">
        <v>64618</v>
      </c>
      <c r="E224" s="81">
        <v>0.5</v>
      </c>
      <c r="F224" s="50">
        <v>0.47010000000000002</v>
      </c>
      <c r="G224" s="50">
        <v>0.23505000000000001</v>
      </c>
      <c r="H224" s="54">
        <v>8.6968499999999995</v>
      </c>
      <c r="I224" s="65">
        <v>1.8</v>
      </c>
      <c r="J224" s="54">
        <v>6.9574800000000003</v>
      </c>
      <c r="K224" s="76">
        <v>15.65433</v>
      </c>
    </row>
    <row r="225" spans="1:11">
      <c r="A225" s="47" t="s">
        <v>941</v>
      </c>
      <c r="B225" s="47" t="s">
        <v>942</v>
      </c>
      <c r="C225" s="52" t="s">
        <v>930</v>
      </c>
      <c r="D225" s="55">
        <v>109800</v>
      </c>
      <c r="E225" s="81">
        <v>0.52</v>
      </c>
      <c r="F225" s="50">
        <v>0.62570000000000003</v>
      </c>
      <c r="G225" s="50">
        <v>0.32536399999999999</v>
      </c>
      <c r="H225" s="54">
        <v>12.038468</v>
      </c>
      <c r="I225" s="65">
        <v>1.3</v>
      </c>
      <c r="J225" s="54">
        <v>3.6115404000000009</v>
      </c>
      <c r="K225" s="76">
        <v>15.650008400000001</v>
      </c>
    </row>
    <row r="226" spans="1:11">
      <c r="A226" s="47" t="s">
        <v>714</v>
      </c>
      <c r="B226" s="47" t="s">
        <v>715</v>
      </c>
      <c r="C226" s="52" t="s">
        <v>703</v>
      </c>
      <c r="D226" s="55">
        <v>117750</v>
      </c>
      <c r="E226" s="81">
        <v>0.48</v>
      </c>
      <c r="F226" s="50">
        <v>0.73219999999999996</v>
      </c>
      <c r="G226" s="50">
        <v>0.35145599999999999</v>
      </c>
      <c r="H226" s="54">
        <v>13.003871999999999</v>
      </c>
      <c r="I226" s="65">
        <v>1.2</v>
      </c>
      <c r="J226" s="54">
        <v>2.6007743999999988</v>
      </c>
      <c r="K226" s="76">
        <v>15.6046464</v>
      </c>
    </row>
    <row r="227" spans="1:11">
      <c r="A227" s="47" t="s">
        <v>939</v>
      </c>
      <c r="B227" s="47" t="s">
        <v>940</v>
      </c>
      <c r="C227" s="52" t="s">
        <v>930</v>
      </c>
      <c r="D227" s="55">
        <v>109800</v>
      </c>
      <c r="E227" s="81">
        <v>0.52</v>
      </c>
      <c r="F227" s="50">
        <v>0.62379999999999991</v>
      </c>
      <c r="G227" s="50">
        <v>0.32437599999999989</v>
      </c>
      <c r="H227" s="54">
        <v>12.001912000000001</v>
      </c>
      <c r="I227" s="65">
        <v>1.3</v>
      </c>
      <c r="J227" s="54">
        <v>3.6005736000000002</v>
      </c>
      <c r="K227" s="76">
        <v>15.6024856</v>
      </c>
    </row>
    <row r="228" spans="1:11">
      <c r="A228" s="47" t="s">
        <v>718</v>
      </c>
      <c r="B228" s="47" t="s">
        <v>719</v>
      </c>
      <c r="C228" s="52" t="s">
        <v>703</v>
      </c>
      <c r="D228" s="55">
        <v>117750</v>
      </c>
      <c r="E228" s="81">
        <v>0.48</v>
      </c>
      <c r="F228" s="50">
        <v>0.73159999999999992</v>
      </c>
      <c r="G228" s="50">
        <v>0.35116799999999992</v>
      </c>
      <c r="H228" s="54">
        <v>12.993216</v>
      </c>
      <c r="I228" s="65">
        <v>1.2</v>
      </c>
      <c r="J228" s="54">
        <v>2.5986431999999988</v>
      </c>
      <c r="K228" s="76">
        <v>15.591859199999989</v>
      </c>
    </row>
    <row r="229" spans="1:11">
      <c r="A229" s="47" t="s">
        <v>722</v>
      </c>
      <c r="B229" s="47" t="s">
        <v>723</v>
      </c>
      <c r="C229" s="52" t="s">
        <v>703</v>
      </c>
      <c r="D229" s="55">
        <v>117750</v>
      </c>
      <c r="E229" s="81">
        <v>0.48</v>
      </c>
      <c r="F229" s="50">
        <v>0.73140000000000005</v>
      </c>
      <c r="G229" s="50">
        <v>0.351072</v>
      </c>
      <c r="H229" s="54">
        <v>12.989663999999999</v>
      </c>
      <c r="I229" s="65">
        <v>1.2</v>
      </c>
      <c r="J229" s="54">
        <v>2.5979327999999988</v>
      </c>
      <c r="K229" s="76">
        <v>15.5875968</v>
      </c>
    </row>
    <row r="230" spans="1:11">
      <c r="A230" s="47" t="s">
        <v>736</v>
      </c>
      <c r="B230" s="47" t="s">
        <v>737</v>
      </c>
      <c r="C230" s="52" t="s">
        <v>703</v>
      </c>
      <c r="D230" s="55">
        <v>117750</v>
      </c>
      <c r="E230" s="81">
        <v>0.48</v>
      </c>
      <c r="F230" s="50">
        <v>0.72420000000000007</v>
      </c>
      <c r="G230" s="50">
        <v>0.34761599999999998</v>
      </c>
      <c r="H230" s="54">
        <v>12.861791999999999</v>
      </c>
      <c r="I230" s="65">
        <v>1.2</v>
      </c>
      <c r="J230" s="54">
        <v>2.5723584000000002</v>
      </c>
      <c r="K230" s="76">
        <v>15.4341504</v>
      </c>
    </row>
    <row r="231" spans="1:11">
      <c r="A231" s="47" t="s">
        <v>935</v>
      </c>
      <c r="B231" s="47" t="s">
        <v>936</v>
      </c>
      <c r="C231" s="52" t="s">
        <v>930</v>
      </c>
      <c r="D231" s="55">
        <v>109800</v>
      </c>
      <c r="E231" s="81">
        <v>0.52</v>
      </c>
      <c r="F231" s="50">
        <v>0.6159</v>
      </c>
      <c r="G231" s="50">
        <v>0.320268</v>
      </c>
      <c r="H231" s="54">
        <v>11.849916</v>
      </c>
      <c r="I231" s="65">
        <v>1.3</v>
      </c>
      <c r="J231" s="54">
        <v>3.554974800000001</v>
      </c>
      <c r="K231" s="76">
        <v>15.4048908</v>
      </c>
    </row>
    <row r="232" spans="1:11">
      <c r="A232" s="47" t="s">
        <v>753</v>
      </c>
      <c r="B232" s="47" t="s">
        <v>754</v>
      </c>
      <c r="C232" s="52" t="s">
        <v>744</v>
      </c>
      <c r="D232" s="55">
        <v>107857</v>
      </c>
      <c r="E232" s="81">
        <v>0.48</v>
      </c>
      <c r="F232" s="50">
        <v>0.72229999999999994</v>
      </c>
      <c r="G232" s="50">
        <v>0.34670400000000001</v>
      </c>
      <c r="H232" s="54">
        <v>12.828048000000001</v>
      </c>
      <c r="I232" s="65">
        <v>1.2</v>
      </c>
      <c r="J232" s="54">
        <v>2.5656095999999988</v>
      </c>
      <c r="K232" s="76">
        <v>15.393657599999999</v>
      </c>
    </row>
    <row r="233" spans="1:11">
      <c r="A233" s="47" t="s">
        <v>953</v>
      </c>
      <c r="B233" s="47" t="s">
        <v>335</v>
      </c>
      <c r="C233" s="52" t="s">
        <v>930</v>
      </c>
      <c r="D233" s="55">
        <v>109800</v>
      </c>
      <c r="E233" s="81">
        <v>0.52</v>
      </c>
      <c r="F233" s="50">
        <v>0.61380000000000001</v>
      </c>
      <c r="G233" s="50">
        <v>0.31917600000000002</v>
      </c>
      <c r="H233" s="54">
        <v>11.809512</v>
      </c>
      <c r="I233" s="65">
        <v>1.3</v>
      </c>
      <c r="J233" s="54">
        <v>3.5428535999999999</v>
      </c>
      <c r="K233" s="76">
        <v>15.352365600000001</v>
      </c>
    </row>
    <row r="234" spans="1:11">
      <c r="A234" s="47" t="s">
        <v>956</v>
      </c>
      <c r="B234" s="47" t="s">
        <v>957</v>
      </c>
      <c r="C234" s="52" t="s">
        <v>930</v>
      </c>
      <c r="D234" s="55">
        <v>109800</v>
      </c>
      <c r="E234" s="81">
        <v>0.52</v>
      </c>
      <c r="F234" s="50">
        <v>0.61319999999999997</v>
      </c>
      <c r="G234" s="50">
        <v>0.31886399999999998</v>
      </c>
      <c r="H234" s="54">
        <v>11.797967999999999</v>
      </c>
      <c r="I234" s="65">
        <v>1.3</v>
      </c>
      <c r="J234" s="54">
        <v>3.5393903999999998</v>
      </c>
      <c r="K234" s="76">
        <v>15.337358399999999</v>
      </c>
    </row>
    <row r="235" spans="1:11">
      <c r="A235" s="47" t="s">
        <v>301</v>
      </c>
      <c r="B235" s="47" t="s">
        <v>302</v>
      </c>
      <c r="C235" s="52" t="s">
        <v>303</v>
      </c>
      <c r="D235" s="55">
        <v>92773</v>
      </c>
      <c r="E235" s="81">
        <v>0.55000000000000004</v>
      </c>
      <c r="F235" s="50">
        <v>0.50139999999999996</v>
      </c>
      <c r="G235" s="50">
        <v>0.27577000000000002</v>
      </c>
      <c r="H235" s="54">
        <v>10.20349</v>
      </c>
      <c r="I235" s="65">
        <v>1.5</v>
      </c>
      <c r="J235" s="54">
        <v>5.1017450000000002</v>
      </c>
      <c r="K235" s="76">
        <v>15.305235</v>
      </c>
    </row>
    <row r="236" spans="1:11">
      <c r="A236" s="47" t="s">
        <v>304</v>
      </c>
      <c r="B236" s="47" t="s">
        <v>305</v>
      </c>
      <c r="C236" s="52" t="s">
        <v>303</v>
      </c>
      <c r="D236" s="55">
        <v>92773</v>
      </c>
      <c r="E236" s="81">
        <v>0.55000000000000004</v>
      </c>
      <c r="F236" s="50">
        <v>0.50139999999999996</v>
      </c>
      <c r="G236" s="50">
        <v>0.27577000000000002</v>
      </c>
      <c r="H236" s="54">
        <v>10.20349</v>
      </c>
      <c r="I236" s="65">
        <v>1.5</v>
      </c>
      <c r="J236" s="54">
        <v>5.1017450000000002</v>
      </c>
      <c r="K236" s="76">
        <v>15.305235</v>
      </c>
    </row>
    <row r="237" spans="1:11">
      <c r="A237" s="47" t="s">
        <v>738</v>
      </c>
      <c r="B237" s="47" t="s">
        <v>739</v>
      </c>
      <c r="C237" s="52" t="s">
        <v>703</v>
      </c>
      <c r="D237" s="55">
        <v>117750</v>
      </c>
      <c r="E237" s="81">
        <v>0.48</v>
      </c>
      <c r="F237" s="50">
        <v>0.71279999999999999</v>
      </c>
      <c r="G237" s="50">
        <v>0.342144</v>
      </c>
      <c r="H237" s="54">
        <v>12.659328</v>
      </c>
      <c r="I237" s="65">
        <v>1.2</v>
      </c>
      <c r="J237" s="54">
        <v>2.5318656000000002</v>
      </c>
      <c r="K237" s="76">
        <v>15.1911936</v>
      </c>
    </row>
    <row r="238" spans="1:11">
      <c r="A238" s="47" t="s">
        <v>954</v>
      </c>
      <c r="B238" s="47" t="s">
        <v>955</v>
      </c>
      <c r="C238" s="52" t="s">
        <v>930</v>
      </c>
      <c r="D238" s="55">
        <v>109800</v>
      </c>
      <c r="E238" s="81">
        <v>0.52</v>
      </c>
      <c r="F238" s="50">
        <v>0.60599999999999998</v>
      </c>
      <c r="G238" s="50">
        <v>0.31512000000000001</v>
      </c>
      <c r="H238" s="54">
        <v>11.65944</v>
      </c>
      <c r="I238" s="65">
        <v>1.3</v>
      </c>
      <c r="J238" s="54">
        <v>3.4978320000000012</v>
      </c>
      <c r="K238" s="76">
        <v>15.157272000000001</v>
      </c>
    </row>
    <row r="239" spans="1:11">
      <c r="A239" s="47" t="s">
        <v>740</v>
      </c>
      <c r="B239" s="47" t="s">
        <v>741</v>
      </c>
      <c r="C239" s="52" t="s">
        <v>703</v>
      </c>
      <c r="D239" s="55">
        <v>117750</v>
      </c>
      <c r="E239" s="81">
        <v>0.48</v>
      </c>
      <c r="F239" s="50">
        <v>0.70779999999999998</v>
      </c>
      <c r="G239" s="50">
        <v>0.33974399999999999</v>
      </c>
      <c r="H239" s="54">
        <v>12.570527999999999</v>
      </c>
      <c r="I239" s="65">
        <v>1.2</v>
      </c>
      <c r="J239" s="54">
        <v>2.5141055999999988</v>
      </c>
      <c r="K239" s="76">
        <v>15.0846336</v>
      </c>
    </row>
    <row r="240" spans="1:11">
      <c r="A240" s="47" t="s">
        <v>602</v>
      </c>
      <c r="B240" s="47" t="s">
        <v>603</v>
      </c>
      <c r="C240" s="52" t="s">
        <v>595</v>
      </c>
      <c r="D240" s="55">
        <v>87600</v>
      </c>
      <c r="E240" s="81">
        <v>0.55000000000000004</v>
      </c>
      <c r="F240" s="50">
        <v>0.56850000000000001</v>
      </c>
      <c r="G240" s="50">
        <v>0.31267499999999998</v>
      </c>
      <c r="H240" s="54">
        <v>11.568975</v>
      </c>
      <c r="I240" s="65">
        <v>1.3</v>
      </c>
      <c r="J240" s="54">
        <v>3.4706925000000011</v>
      </c>
      <c r="K240" s="76">
        <v>15.0396675</v>
      </c>
    </row>
    <row r="241" spans="1:11">
      <c r="A241" s="47" t="s">
        <v>967</v>
      </c>
      <c r="B241" s="47" t="s">
        <v>968</v>
      </c>
      <c r="C241" s="52" t="s">
        <v>960</v>
      </c>
      <c r="D241" s="55">
        <v>92667</v>
      </c>
      <c r="E241" s="81">
        <v>0.48</v>
      </c>
      <c r="F241" s="50">
        <v>0.64249999999999996</v>
      </c>
      <c r="G241" s="50">
        <v>0.30840000000000001</v>
      </c>
      <c r="H241" s="54">
        <v>11.4108</v>
      </c>
      <c r="I241" s="65">
        <v>1.3</v>
      </c>
      <c r="J241" s="54">
        <v>3.4232399999999998</v>
      </c>
      <c r="K241" s="76">
        <v>14.83404</v>
      </c>
    </row>
    <row r="242" spans="1:11">
      <c r="A242" s="47" t="s">
        <v>951</v>
      </c>
      <c r="B242" s="47" t="s">
        <v>952</v>
      </c>
      <c r="C242" s="52" t="s">
        <v>930</v>
      </c>
      <c r="D242" s="55">
        <v>109800</v>
      </c>
      <c r="E242" s="81">
        <v>0.52</v>
      </c>
      <c r="F242" s="50">
        <v>0.58750000000000002</v>
      </c>
      <c r="G242" s="50">
        <v>0.30549999999999999</v>
      </c>
      <c r="H242" s="54">
        <v>11.3035</v>
      </c>
      <c r="I242" s="65">
        <v>1.3</v>
      </c>
      <c r="J242" s="54">
        <v>3.3910500000000008</v>
      </c>
      <c r="K242" s="76">
        <v>14.69455</v>
      </c>
    </row>
    <row r="243" spans="1:11">
      <c r="A243" s="47" t="s">
        <v>613</v>
      </c>
      <c r="B243" s="47" t="s">
        <v>614</v>
      </c>
      <c r="C243" s="52" t="s">
        <v>606</v>
      </c>
      <c r="D243" s="55">
        <v>40786</v>
      </c>
      <c r="E243" s="81">
        <v>0.5</v>
      </c>
      <c r="F243" s="50">
        <v>0.39560000000000001</v>
      </c>
      <c r="G243" s="50">
        <v>0.1978</v>
      </c>
      <c r="H243" s="54">
        <v>7.3186</v>
      </c>
      <c r="I243" s="72">
        <v>2</v>
      </c>
      <c r="J243" s="54">
        <v>7.3186</v>
      </c>
      <c r="K243" s="76">
        <v>14.6372</v>
      </c>
    </row>
    <row r="244" spans="1:11">
      <c r="A244" s="47" t="s">
        <v>795</v>
      </c>
      <c r="B244" s="47" t="s">
        <v>796</v>
      </c>
      <c r="C244" s="52" t="s">
        <v>770</v>
      </c>
      <c r="D244" s="55">
        <v>64200</v>
      </c>
      <c r="E244" s="81">
        <v>0.57999999999999996</v>
      </c>
      <c r="F244" s="50">
        <v>0.61740000000000006</v>
      </c>
      <c r="G244" s="50">
        <v>0.35809200000000002</v>
      </c>
      <c r="H244" s="54">
        <v>13.249404</v>
      </c>
      <c r="I244" s="65">
        <v>1.1000000000000001</v>
      </c>
      <c r="J244" s="54">
        <v>1.3249404000000009</v>
      </c>
      <c r="K244" s="76">
        <v>14.574344399999999</v>
      </c>
    </row>
    <row r="245" spans="1:11">
      <c r="A245" s="47" t="s">
        <v>589</v>
      </c>
      <c r="B245" s="47" t="s">
        <v>590</v>
      </c>
      <c r="C245" s="52" t="s">
        <v>568</v>
      </c>
      <c r="D245" s="55">
        <v>71615</v>
      </c>
      <c r="E245" s="81">
        <v>0.55000000000000004</v>
      </c>
      <c r="F245" s="50">
        <v>0.4763</v>
      </c>
      <c r="G245" s="50">
        <v>0.261965</v>
      </c>
      <c r="H245" s="54">
        <v>9.6927050000000001</v>
      </c>
      <c r="I245" s="65">
        <v>1.5</v>
      </c>
      <c r="J245" s="54">
        <v>4.8463525000000001</v>
      </c>
      <c r="K245" s="76">
        <v>14.5390575</v>
      </c>
    </row>
    <row r="246" spans="1:11">
      <c r="A246" s="47" t="s">
        <v>720</v>
      </c>
      <c r="B246" s="47" t="s">
        <v>721</v>
      </c>
      <c r="C246" s="52" t="s">
        <v>703</v>
      </c>
      <c r="D246" s="55">
        <v>117750</v>
      </c>
      <c r="E246" s="81">
        <v>0.48</v>
      </c>
      <c r="F246" s="50">
        <v>0.68019999999999992</v>
      </c>
      <c r="G246" s="50">
        <v>0.32649600000000001</v>
      </c>
      <c r="H246" s="54">
        <v>12.080352</v>
      </c>
      <c r="I246" s="65">
        <v>1.2</v>
      </c>
      <c r="J246" s="54">
        <v>2.4160703999999988</v>
      </c>
      <c r="K246" s="76">
        <v>14.4964224</v>
      </c>
    </row>
    <row r="247" spans="1:11">
      <c r="A247" s="47" t="s">
        <v>571</v>
      </c>
      <c r="B247" s="47" t="s">
        <v>572</v>
      </c>
      <c r="C247" s="52" t="s">
        <v>568</v>
      </c>
      <c r="D247" s="55">
        <v>71615</v>
      </c>
      <c r="E247" s="81">
        <v>0.55000000000000004</v>
      </c>
      <c r="F247" s="50">
        <v>0.4728</v>
      </c>
      <c r="G247" s="50">
        <v>0.26003999999999999</v>
      </c>
      <c r="H247" s="54">
        <v>9.62148</v>
      </c>
      <c r="I247" s="65">
        <v>1.5</v>
      </c>
      <c r="J247" s="54">
        <v>4.81074</v>
      </c>
      <c r="K247" s="76">
        <v>14.432219999999999</v>
      </c>
    </row>
    <row r="248" spans="1:11">
      <c r="A248" s="47" t="s">
        <v>921</v>
      </c>
      <c r="B248" s="47" t="s">
        <v>922</v>
      </c>
      <c r="C248" s="52" t="s">
        <v>902</v>
      </c>
      <c r="D248" s="55">
        <v>69455</v>
      </c>
      <c r="E248" s="81">
        <v>0.55000000000000004</v>
      </c>
      <c r="F248" s="50">
        <v>0.5907</v>
      </c>
      <c r="G248" s="50">
        <v>0.32488499999999998</v>
      </c>
      <c r="H248" s="54">
        <v>12.020745</v>
      </c>
      <c r="I248" s="65">
        <v>1.2</v>
      </c>
      <c r="J248" s="54">
        <v>2.4041489999999999</v>
      </c>
      <c r="K248" s="76">
        <v>14.424894</v>
      </c>
    </row>
    <row r="249" spans="1:11">
      <c r="A249" s="47" t="s">
        <v>701</v>
      </c>
      <c r="B249" s="47" t="s">
        <v>702</v>
      </c>
      <c r="C249" s="52" t="s">
        <v>703</v>
      </c>
      <c r="D249" s="55">
        <v>117750</v>
      </c>
      <c r="E249" s="81">
        <v>0.48</v>
      </c>
      <c r="F249" s="50">
        <v>0.67510000000000003</v>
      </c>
      <c r="G249" s="50">
        <v>0.324048</v>
      </c>
      <c r="H249" s="54">
        <v>11.989776000000001</v>
      </c>
      <c r="I249" s="65">
        <v>1.2</v>
      </c>
      <c r="J249" s="54">
        <v>2.3979552000000002</v>
      </c>
      <c r="K249" s="76">
        <v>14.387731199999999</v>
      </c>
    </row>
    <row r="250" spans="1:11">
      <c r="A250" s="47" t="s">
        <v>928</v>
      </c>
      <c r="B250" s="47" t="s">
        <v>929</v>
      </c>
      <c r="C250" s="52" t="s">
        <v>930</v>
      </c>
      <c r="D250" s="55">
        <v>109800</v>
      </c>
      <c r="E250" s="81">
        <v>0.52</v>
      </c>
      <c r="F250" s="50">
        <v>0.57489999999999997</v>
      </c>
      <c r="G250" s="50">
        <v>0.29894799999999999</v>
      </c>
      <c r="H250" s="54">
        <v>11.061076</v>
      </c>
      <c r="I250" s="65">
        <v>1.3</v>
      </c>
      <c r="J250" s="54">
        <v>3.3183228000000011</v>
      </c>
      <c r="K250" s="76">
        <v>14.379398800000001</v>
      </c>
    </row>
    <row r="251" spans="1:11">
      <c r="A251" s="47" t="s">
        <v>734</v>
      </c>
      <c r="B251" s="47" t="s">
        <v>735</v>
      </c>
      <c r="C251" s="52" t="s">
        <v>703</v>
      </c>
      <c r="D251" s="55">
        <v>117750</v>
      </c>
      <c r="E251" s="81">
        <v>0.48</v>
      </c>
      <c r="F251" s="50">
        <v>0.67390000000000005</v>
      </c>
      <c r="G251" s="50">
        <v>0.32347199999999998</v>
      </c>
      <c r="H251" s="54">
        <v>11.968464000000001</v>
      </c>
      <c r="I251" s="65">
        <v>1.2</v>
      </c>
      <c r="J251" s="54">
        <v>2.3936928000000002</v>
      </c>
      <c r="K251" s="76">
        <v>14.362156799999999</v>
      </c>
    </row>
    <row r="252" spans="1:11">
      <c r="A252" s="47" t="s">
        <v>915</v>
      </c>
      <c r="B252" s="47" t="s">
        <v>916</v>
      </c>
      <c r="C252" s="52" t="s">
        <v>902</v>
      </c>
      <c r="D252" s="55">
        <v>69455</v>
      </c>
      <c r="E252" s="81">
        <v>0.55000000000000004</v>
      </c>
      <c r="F252" s="50">
        <v>0.5857</v>
      </c>
      <c r="G252" s="50">
        <v>0.322135</v>
      </c>
      <c r="H252" s="54">
        <v>11.918995000000001</v>
      </c>
      <c r="I252" s="65">
        <v>1.2</v>
      </c>
      <c r="J252" s="54">
        <v>2.3837989999999998</v>
      </c>
      <c r="K252" s="76">
        <v>14.302794</v>
      </c>
    </row>
    <row r="253" spans="1:11">
      <c r="A253" s="47" t="s">
        <v>730</v>
      </c>
      <c r="B253" s="47" t="s">
        <v>731</v>
      </c>
      <c r="C253" s="52" t="s">
        <v>703</v>
      </c>
      <c r="D253" s="55">
        <v>117750</v>
      </c>
      <c r="E253" s="81">
        <v>0.48</v>
      </c>
      <c r="F253" s="50">
        <v>0.66760000000000008</v>
      </c>
      <c r="G253" s="50">
        <v>0.32044800000000001</v>
      </c>
      <c r="H253" s="54">
        <v>11.856576</v>
      </c>
      <c r="I253" s="65">
        <v>1.2</v>
      </c>
      <c r="J253" s="54">
        <v>2.3713152000000002</v>
      </c>
      <c r="K253" s="76">
        <v>14.2278912</v>
      </c>
    </row>
    <row r="254" spans="1:11">
      <c r="A254" s="47" t="s">
        <v>591</v>
      </c>
      <c r="B254" s="47" t="s">
        <v>592</v>
      </c>
      <c r="C254" s="52" t="s">
        <v>568</v>
      </c>
      <c r="D254" s="55">
        <v>71615</v>
      </c>
      <c r="E254" s="81">
        <v>0.55000000000000004</v>
      </c>
      <c r="F254" s="50">
        <v>0.46600000000000003</v>
      </c>
      <c r="G254" s="50">
        <v>0.25629999999999997</v>
      </c>
      <c r="H254" s="54">
        <v>9.4831000000000003</v>
      </c>
      <c r="I254" s="65">
        <v>1.5</v>
      </c>
      <c r="J254" s="54">
        <v>4.7415500000000002</v>
      </c>
      <c r="K254" s="76">
        <v>14.22465</v>
      </c>
    </row>
    <row r="255" spans="1:11">
      <c r="A255" s="47" t="s">
        <v>708</v>
      </c>
      <c r="B255" s="47" t="s">
        <v>709</v>
      </c>
      <c r="C255" s="52" t="s">
        <v>703</v>
      </c>
      <c r="D255" s="55">
        <v>117750</v>
      </c>
      <c r="E255" s="81">
        <v>0.48</v>
      </c>
      <c r="F255" s="50">
        <v>0.66659999999999997</v>
      </c>
      <c r="G255" s="50">
        <v>0.31996799999999997</v>
      </c>
      <c r="H255" s="54">
        <v>11.838816</v>
      </c>
      <c r="I255" s="65">
        <v>1.2</v>
      </c>
      <c r="J255" s="54">
        <v>2.3677631999999988</v>
      </c>
      <c r="K255" s="76">
        <v>14.2065792</v>
      </c>
    </row>
    <row r="256" spans="1:11">
      <c r="A256" s="47" t="s">
        <v>728</v>
      </c>
      <c r="B256" s="47" t="s">
        <v>729</v>
      </c>
      <c r="C256" s="52" t="s">
        <v>703</v>
      </c>
      <c r="D256" s="55">
        <v>117750</v>
      </c>
      <c r="E256" s="81">
        <v>0.48</v>
      </c>
      <c r="F256" s="50">
        <v>0.66659999999999997</v>
      </c>
      <c r="G256" s="50">
        <v>0.31996799999999997</v>
      </c>
      <c r="H256" s="54">
        <v>11.838816</v>
      </c>
      <c r="I256" s="65">
        <v>1.2</v>
      </c>
      <c r="J256" s="54">
        <v>2.3677631999999988</v>
      </c>
      <c r="K256" s="76">
        <v>14.2065792</v>
      </c>
    </row>
    <row r="257" spans="1:11">
      <c r="A257" s="47" t="s">
        <v>704</v>
      </c>
      <c r="B257" s="47" t="s">
        <v>705</v>
      </c>
      <c r="C257" s="52" t="s">
        <v>703</v>
      </c>
      <c r="D257" s="55">
        <v>117750</v>
      </c>
      <c r="E257" s="81">
        <v>0.48</v>
      </c>
      <c r="F257" s="50">
        <v>0.66239999999999999</v>
      </c>
      <c r="G257" s="50">
        <v>0.31795200000000001</v>
      </c>
      <c r="H257" s="54">
        <v>11.764224</v>
      </c>
      <c r="I257" s="65">
        <v>1.2</v>
      </c>
      <c r="J257" s="54">
        <v>2.3528447999999988</v>
      </c>
      <c r="K257" s="76">
        <v>14.1170688</v>
      </c>
    </row>
    <row r="258" spans="1:11">
      <c r="A258" s="47" t="s">
        <v>706</v>
      </c>
      <c r="B258" s="47" t="s">
        <v>707</v>
      </c>
      <c r="C258" s="52" t="s">
        <v>703</v>
      </c>
      <c r="D258" s="55">
        <v>117750</v>
      </c>
      <c r="E258" s="81">
        <v>0.48</v>
      </c>
      <c r="F258" s="50">
        <v>0.65450000000000008</v>
      </c>
      <c r="G258" s="50">
        <v>0.31416000000000011</v>
      </c>
      <c r="H258" s="54">
        <v>11.62392</v>
      </c>
      <c r="I258" s="65">
        <v>1.2</v>
      </c>
      <c r="J258" s="54">
        <v>2.3247840000000002</v>
      </c>
      <c r="K258" s="76">
        <v>13.948703999999999</v>
      </c>
    </row>
    <row r="259" spans="1:11">
      <c r="A259" s="47" t="s">
        <v>726</v>
      </c>
      <c r="B259" s="47" t="s">
        <v>727</v>
      </c>
      <c r="C259" s="52" t="s">
        <v>703</v>
      </c>
      <c r="D259" s="55">
        <v>117750</v>
      </c>
      <c r="E259" s="81">
        <v>0.48</v>
      </c>
      <c r="F259" s="50">
        <v>0.64840000000000009</v>
      </c>
      <c r="G259" s="50">
        <v>0.31123200000000001</v>
      </c>
      <c r="H259" s="54">
        <v>11.515584</v>
      </c>
      <c r="I259" s="65">
        <v>1.2</v>
      </c>
      <c r="J259" s="54">
        <v>2.3031168000000002</v>
      </c>
      <c r="K259" s="76">
        <v>13.8187008</v>
      </c>
    </row>
    <row r="260" spans="1:11">
      <c r="A260" s="47" t="s">
        <v>724</v>
      </c>
      <c r="B260" s="47" t="s">
        <v>725</v>
      </c>
      <c r="C260" s="52" t="s">
        <v>703</v>
      </c>
      <c r="D260" s="55">
        <v>117750</v>
      </c>
      <c r="E260" s="81">
        <v>0.48</v>
      </c>
      <c r="F260" s="50">
        <v>0.6411</v>
      </c>
      <c r="G260" s="50">
        <v>0.307728</v>
      </c>
      <c r="H260" s="54">
        <v>11.385935999999999</v>
      </c>
      <c r="I260" s="65">
        <v>1.2</v>
      </c>
      <c r="J260" s="54">
        <v>2.2771872000000002</v>
      </c>
      <c r="K260" s="76">
        <v>13.663123199999999</v>
      </c>
    </row>
    <row r="261" spans="1:11">
      <c r="A261" s="47" t="s">
        <v>732</v>
      </c>
      <c r="B261" s="47" t="s">
        <v>733</v>
      </c>
      <c r="C261" s="52" t="s">
        <v>703</v>
      </c>
      <c r="D261" s="55">
        <v>117750</v>
      </c>
      <c r="E261" s="81">
        <v>0.48</v>
      </c>
      <c r="F261" s="50">
        <v>0.64060000000000006</v>
      </c>
      <c r="G261" s="50">
        <v>0.30748799999999998</v>
      </c>
      <c r="H261" s="54">
        <v>11.377056</v>
      </c>
      <c r="I261" s="65">
        <v>1.2</v>
      </c>
      <c r="J261" s="54">
        <v>2.2754112000000002</v>
      </c>
      <c r="K261" s="76">
        <v>13.6524672</v>
      </c>
    </row>
    <row r="262" spans="1:11">
      <c r="A262" s="47" t="s">
        <v>923</v>
      </c>
      <c r="B262" s="47" t="s">
        <v>924</v>
      </c>
      <c r="C262" s="52" t="s">
        <v>925</v>
      </c>
      <c r="D262" s="55">
        <v>54000</v>
      </c>
      <c r="E262" s="81">
        <v>0.57999999999999996</v>
      </c>
      <c r="F262" s="50">
        <v>0.52939999999999998</v>
      </c>
      <c r="G262" s="50">
        <v>0.30705199999999999</v>
      </c>
      <c r="H262" s="54">
        <v>11.360924000000001</v>
      </c>
      <c r="I262" s="65">
        <v>1.2</v>
      </c>
      <c r="J262" s="54">
        <v>2.2721847999999989</v>
      </c>
      <c r="K262" s="76">
        <v>13.6331088</v>
      </c>
    </row>
    <row r="263" spans="1:11">
      <c r="A263" s="47" t="s">
        <v>874</v>
      </c>
      <c r="B263" s="47" t="s">
        <v>875</v>
      </c>
      <c r="C263" s="52" t="s">
        <v>871</v>
      </c>
      <c r="D263" s="55">
        <v>125267</v>
      </c>
      <c r="E263" s="81">
        <v>0.6</v>
      </c>
      <c r="F263" s="50">
        <v>0.54759999999999998</v>
      </c>
      <c r="G263" s="50">
        <v>0.32856000000000002</v>
      </c>
      <c r="H263" s="54">
        <v>12.15672</v>
      </c>
      <c r="I263" s="65">
        <v>1.1000000000000001</v>
      </c>
      <c r="J263" s="54">
        <v>1.215672000000001</v>
      </c>
      <c r="K263" s="76">
        <v>13.372392</v>
      </c>
    </row>
    <row r="264" spans="1:11">
      <c r="A264" s="47" t="s">
        <v>600</v>
      </c>
      <c r="B264" s="47" t="s">
        <v>601</v>
      </c>
      <c r="C264" s="52" t="s">
        <v>595</v>
      </c>
      <c r="D264" s="55">
        <v>87600</v>
      </c>
      <c r="E264" s="81">
        <v>0.55000000000000004</v>
      </c>
      <c r="F264" s="50">
        <v>0.50129999999999997</v>
      </c>
      <c r="G264" s="50">
        <v>0.27571499999999999</v>
      </c>
      <c r="H264" s="54">
        <v>10.201454999999999</v>
      </c>
      <c r="I264" s="65">
        <v>1.3</v>
      </c>
      <c r="J264" s="54">
        <v>3.0604364999999998</v>
      </c>
      <c r="K264" s="76">
        <v>13.261891500000001</v>
      </c>
    </row>
    <row r="265" spans="1:11">
      <c r="A265" s="47" t="s">
        <v>611</v>
      </c>
      <c r="B265" s="47" t="s">
        <v>612</v>
      </c>
      <c r="C265" s="52" t="s">
        <v>606</v>
      </c>
      <c r="D265" s="55">
        <v>40786</v>
      </c>
      <c r="E265" s="81">
        <v>0.5</v>
      </c>
      <c r="F265" s="50">
        <v>0.35570000000000002</v>
      </c>
      <c r="G265" s="50">
        <v>0.17785000000000001</v>
      </c>
      <c r="H265" s="54">
        <v>6.5804499999999999</v>
      </c>
      <c r="I265" s="72">
        <v>2</v>
      </c>
      <c r="J265" s="54">
        <v>6.5804499999999999</v>
      </c>
      <c r="K265" s="76">
        <v>13.1609</v>
      </c>
    </row>
    <row r="266" spans="1:11">
      <c r="A266" s="47" t="s">
        <v>931</v>
      </c>
      <c r="B266" s="47" t="s">
        <v>932</v>
      </c>
      <c r="C266" s="52" t="s">
        <v>930</v>
      </c>
      <c r="D266" s="55">
        <v>109800</v>
      </c>
      <c r="E266" s="81">
        <v>0.52</v>
      </c>
      <c r="F266" s="50">
        <v>0.52490000000000003</v>
      </c>
      <c r="G266" s="50">
        <v>0.27294800000000002</v>
      </c>
      <c r="H266" s="54">
        <v>10.099076</v>
      </c>
      <c r="I266" s="65">
        <v>1.3</v>
      </c>
      <c r="J266" s="54">
        <v>3.0297228</v>
      </c>
      <c r="K266" s="76">
        <v>13.1287988</v>
      </c>
    </row>
    <row r="267" spans="1:11">
      <c r="A267" s="47" t="s">
        <v>872</v>
      </c>
      <c r="B267" s="47" t="s">
        <v>873</v>
      </c>
      <c r="C267" s="52" t="s">
        <v>871</v>
      </c>
      <c r="D267" s="55">
        <v>125267</v>
      </c>
      <c r="E267" s="81">
        <v>0.6</v>
      </c>
      <c r="F267" s="50">
        <v>0.52790000000000004</v>
      </c>
      <c r="G267" s="50">
        <v>0.31674000000000002</v>
      </c>
      <c r="H267" s="54">
        <v>11.719379999999999</v>
      </c>
      <c r="I267" s="65">
        <v>1.1000000000000001</v>
      </c>
      <c r="J267" s="54">
        <v>1.171938000000001</v>
      </c>
      <c r="K267" s="76">
        <v>12.891318</v>
      </c>
    </row>
    <row r="268" spans="1:11">
      <c r="A268" s="47" t="s">
        <v>832</v>
      </c>
      <c r="B268" s="47" t="s">
        <v>833</v>
      </c>
      <c r="C268" s="52" t="s">
        <v>811</v>
      </c>
      <c r="D268" s="55">
        <v>69250</v>
      </c>
      <c r="E268" s="81">
        <v>0.6</v>
      </c>
      <c r="F268" s="50">
        <v>0.52689999999999992</v>
      </c>
      <c r="G268" s="50">
        <v>0.31613999999999992</v>
      </c>
      <c r="H268" s="54">
        <v>11.697179999999999</v>
      </c>
      <c r="I268" s="65">
        <v>1.1000000000000001</v>
      </c>
      <c r="J268" s="54">
        <v>1.1697180000000009</v>
      </c>
      <c r="K268" s="76">
        <v>12.866898000000001</v>
      </c>
    </row>
    <row r="269" spans="1:11">
      <c r="A269" s="47" t="s">
        <v>843</v>
      </c>
      <c r="B269" s="47" t="s">
        <v>844</v>
      </c>
      <c r="C269" s="52" t="s">
        <v>836</v>
      </c>
      <c r="D269" s="55">
        <v>42000</v>
      </c>
      <c r="E269" s="81">
        <v>0.57999999999999996</v>
      </c>
      <c r="F269" s="50">
        <v>0.5444</v>
      </c>
      <c r="G269" s="50">
        <v>0.31575199999999998</v>
      </c>
      <c r="H269" s="54">
        <v>11.682824</v>
      </c>
      <c r="I269" s="65">
        <v>1.1000000000000001</v>
      </c>
      <c r="J269" s="54">
        <v>1.1682824000000009</v>
      </c>
      <c r="K269" s="76">
        <v>12.851106400000001</v>
      </c>
    </row>
    <row r="270" spans="1:11">
      <c r="A270" s="47" t="s">
        <v>807</v>
      </c>
      <c r="B270" s="47" t="s">
        <v>808</v>
      </c>
      <c r="C270" s="52" t="s">
        <v>770</v>
      </c>
      <c r="D270" s="55">
        <v>64200</v>
      </c>
      <c r="E270" s="81">
        <v>0.57999999999999996</v>
      </c>
      <c r="F270" s="50">
        <v>0.54110000000000003</v>
      </c>
      <c r="G270" s="50">
        <v>0.31383800000000001</v>
      </c>
      <c r="H270" s="54">
        <v>11.612005999999999</v>
      </c>
      <c r="I270" s="65">
        <v>1.1000000000000001</v>
      </c>
      <c r="J270" s="54">
        <v>1.161200600000001</v>
      </c>
      <c r="K270" s="76">
        <v>12.7732066</v>
      </c>
    </row>
    <row r="271" spans="1:11">
      <c r="A271" s="47" t="s">
        <v>859</v>
      </c>
      <c r="B271" s="47" t="s">
        <v>860</v>
      </c>
      <c r="C271" s="52" t="s">
        <v>836</v>
      </c>
      <c r="D271" s="55">
        <v>42000</v>
      </c>
      <c r="E271" s="81">
        <v>0.57999999999999996</v>
      </c>
      <c r="F271" s="50">
        <v>0.54089999999999994</v>
      </c>
      <c r="G271" s="50">
        <v>0.31372199999999989</v>
      </c>
      <c r="H271" s="54">
        <v>11.607714</v>
      </c>
      <c r="I271" s="65">
        <v>1.1000000000000001</v>
      </c>
      <c r="J271" s="54">
        <v>1.1607714000000009</v>
      </c>
      <c r="K271" s="76">
        <v>12.768485399999999</v>
      </c>
    </row>
    <row r="272" spans="1:11">
      <c r="A272" s="47" t="s">
        <v>947</v>
      </c>
      <c r="B272" s="47" t="s">
        <v>948</v>
      </c>
      <c r="C272" s="52" t="s">
        <v>930</v>
      </c>
      <c r="D272" s="55">
        <v>109800</v>
      </c>
      <c r="E272" s="81">
        <v>0.52</v>
      </c>
      <c r="F272" s="50">
        <v>0.49540000000000001</v>
      </c>
      <c r="G272" s="50">
        <v>0.257608</v>
      </c>
      <c r="H272" s="54">
        <v>9.5314960000000006</v>
      </c>
      <c r="I272" s="65">
        <v>1.3</v>
      </c>
      <c r="J272" s="54">
        <v>2.8594488</v>
      </c>
      <c r="K272" s="76">
        <v>12.3909448</v>
      </c>
    </row>
    <row r="273" spans="1:11">
      <c r="A273" s="47" t="s">
        <v>598</v>
      </c>
      <c r="B273" s="47" t="s">
        <v>599</v>
      </c>
      <c r="C273" s="52" t="s">
        <v>595</v>
      </c>
      <c r="D273" s="55">
        <v>87600</v>
      </c>
      <c r="E273" s="81">
        <v>0.55000000000000004</v>
      </c>
      <c r="F273" s="50">
        <v>0.46739999999999998</v>
      </c>
      <c r="G273" s="50">
        <v>0.25707000000000002</v>
      </c>
      <c r="H273" s="54">
        <v>9.51159</v>
      </c>
      <c r="I273" s="65">
        <v>1.3</v>
      </c>
      <c r="J273" s="54">
        <v>2.8534769999999998</v>
      </c>
      <c r="K273" s="76">
        <v>12.365067</v>
      </c>
    </row>
    <row r="274" spans="1:11">
      <c r="A274" s="47" t="s">
        <v>593</v>
      </c>
      <c r="B274" s="47" t="s">
        <v>594</v>
      </c>
      <c r="C274" s="52" t="s">
        <v>595</v>
      </c>
      <c r="D274" s="55">
        <v>87600</v>
      </c>
      <c r="E274" s="81">
        <v>0.55000000000000004</v>
      </c>
      <c r="F274" s="50">
        <v>0.46619999999999989</v>
      </c>
      <c r="G274" s="50">
        <v>0.25641000000000003</v>
      </c>
      <c r="H274" s="54">
        <v>9.487169999999999</v>
      </c>
      <c r="I274" s="65">
        <v>1.3</v>
      </c>
      <c r="J274" s="54">
        <v>2.8461509999999999</v>
      </c>
      <c r="K274" s="76">
        <v>12.333321</v>
      </c>
    </row>
    <row r="275" spans="1:11">
      <c r="A275" s="47" t="s">
        <v>785</v>
      </c>
      <c r="B275" s="47" t="s">
        <v>786</v>
      </c>
      <c r="C275" s="52" t="s">
        <v>770</v>
      </c>
      <c r="D275" s="55">
        <v>64200</v>
      </c>
      <c r="E275" s="81">
        <v>0.57999999999999996</v>
      </c>
      <c r="F275" s="50">
        <v>0.51969999999999994</v>
      </c>
      <c r="G275" s="50">
        <v>0.30142600000000003</v>
      </c>
      <c r="H275" s="54">
        <v>11.152761999999999</v>
      </c>
      <c r="I275" s="65">
        <v>1.1000000000000001</v>
      </c>
      <c r="J275" s="54">
        <v>1.1152762000000009</v>
      </c>
      <c r="K275" s="76">
        <v>12.268038199999999</v>
      </c>
    </row>
    <row r="276" spans="1:11">
      <c r="A276" s="47" t="s">
        <v>801</v>
      </c>
      <c r="B276" s="47" t="s">
        <v>802</v>
      </c>
      <c r="C276" s="52" t="s">
        <v>770</v>
      </c>
      <c r="D276" s="55">
        <v>64200</v>
      </c>
      <c r="E276" s="81">
        <v>0.57999999999999996</v>
      </c>
      <c r="F276" s="50">
        <v>0.51190000000000002</v>
      </c>
      <c r="G276" s="50">
        <v>0.296902</v>
      </c>
      <c r="H276" s="54">
        <v>10.985374</v>
      </c>
      <c r="I276" s="65">
        <v>1.1000000000000001</v>
      </c>
      <c r="J276" s="54">
        <v>1.098537400000001</v>
      </c>
      <c r="K276" s="76">
        <v>12.0839114</v>
      </c>
    </row>
    <row r="277" spans="1:11">
      <c r="A277" s="47" t="s">
        <v>892</v>
      </c>
      <c r="B277" s="47" t="s">
        <v>893</v>
      </c>
      <c r="C277" s="52" t="s">
        <v>871</v>
      </c>
      <c r="D277" s="55">
        <v>125267</v>
      </c>
      <c r="E277" s="81">
        <v>0.6</v>
      </c>
      <c r="F277" s="50">
        <v>0.48970000000000002</v>
      </c>
      <c r="G277" s="50">
        <v>0.29382000000000003</v>
      </c>
      <c r="H277" s="54">
        <v>10.87134</v>
      </c>
      <c r="I277" s="65">
        <v>1.1000000000000001</v>
      </c>
      <c r="J277" s="54">
        <v>1.0871340000000009</v>
      </c>
      <c r="K277" s="76">
        <v>11.958474000000001</v>
      </c>
    </row>
    <row r="278" spans="1:11">
      <c r="A278" s="47" t="s">
        <v>791</v>
      </c>
      <c r="B278" s="47" t="s">
        <v>792</v>
      </c>
      <c r="C278" s="52" t="s">
        <v>770</v>
      </c>
      <c r="D278" s="55">
        <v>64200</v>
      </c>
      <c r="E278" s="81">
        <v>0.57999999999999996</v>
      </c>
      <c r="F278" s="50">
        <v>0.49969999999999998</v>
      </c>
      <c r="G278" s="50">
        <v>0.28982599999999997</v>
      </c>
      <c r="H278" s="54">
        <v>10.723561999999999</v>
      </c>
      <c r="I278" s="65">
        <v>1.1000000000000001</v>
      </c>
      <c r="J278" s="54">
        <v>1.0723562000000011</v>
      </c>
      <c r="K278" s="76">
        <v>11.795918199999999</v>
      </c>
    </row>
    <row r="279" spans="1:11">
      <c r="A279" s="47" t="s">
        <v>945</v>
      </c>
      <c r="B279" s="47" t="s">
        <v>946</v>
      </c>
      <c r="C279" s="52" t="s">
        <v>930</v>
      </c>
      <c r="D279" s="55">
        <v>109800</v>
      </c>
      <c r="E279" s="81">
        <v>0.52</v>
      </c>
      <c r="F279" s="50">
        <v>0.46650000000000003</v>
      </c>
      <c r="G279" s="50">
        <v>0.24257999999999999</v>
      </c>
      <c r="H279" s="54">
        <v>8.97546</v>
      </c>
      <c r="I279" s="65">
        <v>1.3</v>
      </c>
      <c r="J279" s="54">
        <v>2.692638000000001</v>
      </c>
      <c r="K279" s="76">
        <v>11.668098000000001</v>
      </c>
    </row>
    <row r="280" spans="1:11">
      <c r="A280" s="47" t="s">
        <v>793</v>
      </c>
      <c r="B280" s="47" t="s">
        <v>794</v>
      </c>
      <c r="C280" s="52" t="s">
        <v>770</v>
      </c>
      <c r="D280" s="55">
        <v>64200</v>
      </c>
      <c r="E280" s="81">
        <v>0.57999999999999996</v>
      </c>
      <c r="F280" s="50">
        <v>0.49340000000000012</v>
      </c>
      <c r="G280" s="50">
        <v>0.28617199999999998</v>
      </c>
      <c r="H280" s="54">
        <v>10.588364</v>
      </c>
      <c r="I280" s="65">
        <v>1.1000000000000001</v>
      </c>
      <c r="J280" s="54">
        <v>1.058836400000001</v>
      </c>
      <c r="K280" s="76">
        <v>11.647200399999999</v>
      </c>
    </row>
    <row r="281" spans="1:11">
      <c r="A281" s="47" t="s">
        <v>876</v>
      </c>
      <c r="B281" s="47" t="s">
        <v>877</v>
      </c>
      <c r="C281" s="52" t="s">
        <v>871</v>
      </c>
      <c r="D281" s="55">
        <v>125267</v>
      </c>
      <c r="E281" s="81">
        <v>0.6</v>
      </c>
      <c r="F281" s="50">
        <v>0.47399999999999998</v>
      </c>
      <c r="G281" s="50">
        <v>0.28439999999999999</v>
      </c>
      <c r="H281" s="54">
        <v>10.5228</v>
      </c>
      <c r="I281" s="65">
        <v>1.1000000000000001</v>
      </c>
      <c r="J281" s="54">
        <v>1.052280000000001</v>
      </c>
      <c r="K281" s="76">
        <v>11.57508</v>
      </c>
    </row>
    <row r="282" spans="1:11">
      <c r="A282" s="47" t="s">
        <v>919</v>
      </c>
      <c r="B282" s="47" t="s">
        <v>920</v>
      </c>
      <c r="C282" s="52" t="s">
        <v>902</v>
      </c>
      <c r="D282" s="55">
        <v>69455</v>
      </c>
      <c r="E282" s="81">
        <v>0.55000000000000004</v>
      </c>
      <c r="F282" s="50">
        <v>0.47320000000000001</v>
      </c>
      <c r="G282" s="50">
        <v>0.26025999999999999</v>
      </c>
      <c r="H282" s="54">
        <v>9.629620000000001</v>
      </c>
      <c r="I282" s="65">
        <v>1.2</v>
      </c>
      <c r="J282" s="54">
        <v>1.925924</v>
      </c>
      <c r="K282" s="76">
        <v>11.555543999999999</v>
      </c>
    </row>
    <row r="283" spans="1:11">
      <c r="A283" s="47" t="s">
        <v>805</v>
      </c>
      <c r="B283" s="47" t="s">
        <v>806</v>
      </c>
      <c r="C283" s="52" t="s">
        <v>770</v>
      </c>
      <c r="D283" s="55">
        <v>64200</v>
      </c>
      <c r="E283" s="81">
        <v>0.57999999999999996</v>
      </c>
      <c r="F283" s="50">
        <v>0.48680000000000001</v>
      </c>
      <c r="G283" s="50">
        <v>0.28234399999999998</v>
      </c>
      <c r="H283" s="54">
        <v>10.446728</v>
      </c>
      <c r="I283" s="65">
        <v>1.1000000000000001</v>
      </c>
      <c r="J283" s="54">
        <v>1.044672800000001</v>
      </c>
      <c r="K283" s="76">
        <v>11.491400799999999</v>
      </c>
    </row>
    <row r="284" spans="1:11">
      <c r="A284" s="47" t="s">
        <v>1022</v>
      </c>
      <c r="B284" s="47" t="s">
        <v>1023</v>
      </c>
      <c r="C284" s="52" t="s">
        <v>973</v>
      </c>
      <c r="D284" s="55">
        <v>40308</v>
      </c>
      <c r="E284" s="81">
        <v>0.6</v>
      </c>
      <c r="F284" s="50">
        <v>0.51369999999999993</v>
      </c>
      <c r="G284" s="50">
        <v>0.30821999999999988</v>
      </c>
      <c r="H284" s="54">
        <v>11.40414</v>
      </c>
      <c r="I284" s="65">
        <v>1</v>
      </c>
      <c r="J284" s="54">
        <v>0</v>
      </c>
      <c r="K284" s="76">
        <v>11.40414</v>
      </c>
    </row>
    <row r="285" spans="1:11">
      <c r="A285" s="47" t="s">
        <v>886</v>
      </c>
      <c r="B285" s="47" t="s">
        <v>887</v>
      </c>
      <c r="C285" s="52" t="s">
        <v>871</v>
      </c>
      <c r="D285" s="55">
        <v>125267</v>
      </c>
      <c r="E285" s="81">
        <v>0.6</v>
      </c>
      <c r="F285" s="50">
        <v>0.45760000000000001</v>
      </c>
      <c r="G285" s="50">
        <v>0.27456000000000003</v>
      </c>
      <c r="H285" s="54">
        <v>10.158720000000001</v>
      </c>
      <c r="I285" s="65">
        <v>1.1000000000000001</v>
      </c>
      <c r="J285" s="54">
        <v>1.015872000000001</v>
      </c>
      <c r="K285" s="76">
        <v>11.174592000000001</v>
      </c>
    </row>
    <row r="286" spans="1:11">
      <c r="A286" s="47" t="s">
        <v>818</v>
      </c>
      <c r="B286" s="47" t="s">
        <v>819</v>
      </c>
      <c r="C286" s="52" t="s">
        <v>811</v>
      </c>
      <c r="D286" s="55">
        <v>69250</v>
      </c>
      <c r="E286" s="81">
        <v>0.6</v>
      </c>
      <c r="F286" s="50">
        <v>0.45610000000000001</v>
      </c>
      <c r="G286" s="50">
        <v>0.27366000000000001</v>
      </c>
      <c r="H286" s="54">
        <v>10.12542</v>
      </c>
      <c r="I286" s="65">
        <v>1.1000000000000001</v>
      </c>
      <c r="J286" s="54">
        <v>1.0125420000000009</v>
      </c>
      <c r="K286" s="76">
        <v>11.137962</v>
      </c>
    </row>
    <row r="287" spans="1:11">
      <c r="A287" s="47" t="s">
        <v>903</v>
      </c>
      <c r="B287" s="47" t="s">
        <v>904</v>
      </c>
      <c r="C287" s="52" t="s">
        <v>902</v>
      </c>
      <c r="D287" s="55">
        <v>69455</v>
      </c>
      <c r="E287" s="81">
        <v>0.55000000000000004</v>
      </c>
      <c r="F287" s="50">
        <v>0.44169999999999998</v>
      </c>
      <c r="G287" s="50">
        <v>0.24293500000000001</v>
      </c>
      <c r="H287" s="54">
        <v>8.9885950000000019</v>
      </c>
      <c r="I287" s="65">
        <v>1.2</v>
      </c>
      <c r="J287" s="54">
        <v>1.7977190000000001</v>
      </c>
      <c r="K287" s="76">
        <v>10.786314000000001</v>
      </c>
    </row>
    <row r="288" spans="1:11">
      <c r="A288" s="47" t="s">
        <v>1006</v>
      </c>
      <c r="B288" s="47" t="s">
        <v>1007</v>
      </c>
      <c r="C288" s="52" t="s">
        <v>973</v>
      </c>
      <c r="D288" s="55">
        <v>40308</v>
      </c>
      <c r="E288" s="81">
        <v>0.6</v>
      </c>
      <c r="F288" s="50">
        <v>0.48470000000000002</v>
      </c>
      <c r="G288" s="50">
        <v>0.29082000000000002</v>
      </c>
      <c r="H288" s="54">
        <v>10.760339999999999</v>
      </c>
      <c r="I288" s="65">
        <v>1</v>
      </c>
      <c r="J288" s="54">
        <v>0</v>
      </c>
      <c r="K288" s="76">
        <v>10.760339999999999</v>
      </c>
    </row>
    <row r="289" spans="1:11">
      <c r="A289" s="47" t="s">
        <v>911</v>
      </c>
      <c r="B289" s="47" t="s">
        <v>912</v>
      </c>
      <c r="C289" s="52" t="s">
        <v>902</v>
      </c>
      <c r="D289" s="55">
        <v>69455</v>
      </c>
      <c r="E289" s="81">
        <v>0.55000000000000004</v>
      </c>
      <c r="F289" s="50">
        <v>0.44</v>
      </c>
      <c r="G289" s="50">
        <v>0.24199999999999999</v>
      </c>
      <c r="H289" s="54">
        <v>8.9540000000000006</v>
      </c>
      <c r="I289" s="65">
        <v>1.2</v>
      </c>
      <c r="J289" s="54">
        <v>1.7907999999999999</v>
      </c>
      <c r="K289" s="76">
        <v>10.7448</v>
      </c>
    </row>
    <row r="290" spans="1:11">
      <c r="A290" s="47" t="s">
        <v>900</v>
      </c>
      <c r="B290" s="47" t="s">
        <v>901</v>
      </c>
      <c r="C290" s="52" t="s">
        <v>902</v>
      </c>
      <c r="D290" s="55">
        <v>69455</v>
      </c>
      <c r="E290" s="81">
        <v>0.55000000000000004</v>
      </c>
      <c r="F290" s="50">
        <v>0.43819999999999998</v>
      </c>
      <c r="G290" s="50">
        <v>0.24101</v>
      </c>
      <c r="H290" s="54">
        <v>8.91737</v>
      </c>
      <c r="I290" s="65">
        <v>1.2</v>
      </c>
      <c r="J290" s="54">
        <v>1.783474</v>
      </c>
      <c r="K290" s="76">
        <v>10.700844</v>
      </c>
    </row>
    <row r="291" spans="1:11">
      <c r="A291" s="47" t="s">
        <v>777</v>
      </c>
      <c r="B291" s="47" t="s">
        <v>778</v>
      </c>
      <c r="C291" s="52" t="s">
        <v>770</v>
      </c>
      <c r="D291" s="55">
        <v>64200</v>
      </c>
      <c r="E291" s="81">
        <v>0.57999999999999996</v>
      </c>
      <c r="F291" s="50">
        <v>0.45229999999999998</v>
      </c>
      <c r="G291" s="50">
        <v>0.26233400000000001</v>
      </c>
      <c r="H291" s="54">
        <v>9.706357999999998</v>
      </c>
      <c r="I291" s="65">
        <v>1.1000000000000001</v>
      </c>
      <c r="J291" s="54">
        <v>0.97063580000000071</v>
      </c>
      <c r="K291" s="76">
        <v>10.6769938</v>
      </c>
    </row>
    <row r="292" spans="1:11">
      <c r="A292" s="47" t="s">
        <v>789</v>
      </c>
      <c r="B292" s="47" t="s">
        <v>790</v>
      </c>
      <c r="C292" s="52" t="s">
        <v>770</v>
      </c>
      <c r="D292" s="55">
        <v>64200</v>
      </c>
      <c r="E292" s="81">
        <v>0.57999999999999996</v>
      </c>
      <c r="F292" s="50">
        <v>0.45229999999999998</v>
      </c>
      <c r="G292" s="50">
        <v>0.26233400000000001</v>
      </c>
      <c r="H292" s="54">
        <v>9.706357999999998</v>
      </c>
      <c r="I292" s="65">
        <v>1.1000000000000001</v>
      </c>
      <c r="J292" s="54">
        <v>0.97063580000000071</v>
      </c>
      <c r="K292" s="76">
        <v>10.6769938</v>
      </c>
    </row>
    <row r="293" spans="1:11">
      <c r="A293" s="47" t="s">
        <v>803</v>
      </c>
      <c r="B293" s="47" t="s">
        <v>804</v>
      </c>
      <c r="C293" s="52" t="s">
        <v>770</v>
      </c>
      <c r="D293" s="55">
        <v>64200</v>
      </c>
      <c r="E293" s="81">
        <v>0.57999999999999996</v>
      </c>
      <c r="F293" s="50">
        <v>0.45229999999999998</v>
      </c>
      <c r="G293" s="50">
        <v>0.26233400000000001</v>
      </c>
      <c r="H293" s="54">
        <v>9.706357999999998</v>
      </c>
      <c r="I293" s="65">
        <v>1.1000000000000001</v>
      </c>
      <c r="J293" s="54">
        <v>0.97063580000000071</v>
      </c>
      <c r="K293" s="76">
        <v>10.6769938</v>
      </c>
    </row>
    <row r="294" spans="1:11">
      <c r="A294" s="47" t="s">
        <v>779</v>
      </c>
      <c r="B294" s="47" t="s">
        <v>780</v>
      </c>
      <c r="C294" s="52" t="s">
        <v>770</v>
      </c>
      <c r="D294" s="55">
        <v>64200</v>
      </c>
      <c r="E294" s="81">
        <v>0.57999999999999996</v>
      </c>
      <c r="F294" s="50">
        <v>0.45190000000000002</v>
      </c>
      <c r="G294" s="50">
        <v>0.26210199999999989</v>
      </c>
      <c r="H294" s="54">
        <v>9.6977739999999972</v>
      </c>
      <c r="I294" s="65">
        <v>1.1000000000000001</v>
      </c>
      <c r="J294" s="54">
        <v>0.96977740000000057</v>
      </c>
      <c r="K294" s="76">
        <v>10.667551400000001</v>
      </c>
    </row>
    <row r="295" spans="1:11">
      <c r="A295" s="47" t="s">
        <v>625</v>
      </c>
      <c r="B295" s="47" t="s">
        <v>626</v>
      </c>
      <c r="C295" s="52" t="s">
        <v>606</v>
      </c>
      <c r="D295" s="55">
        <v>40786</v>
      </c>
      <c r="E295" s="81">
        <v>0.5</v>
      </c>
      <c r="F295" s="50">
        <v>0.28599999999999998</v>
      </c>
      <c r="G295" s="50">
        <v>0.14299999999999999</v>
      </c>
      <c r="H295" s="54">
        <v>5.2910000000000004</v>
      </c>
      <c r="I295" s="72">
        <v>2</v>
      </c>
      <c r="J295" s="54">
        <v>5.2910000000000004</v>
      </c>
      <c r="K295" s="76">
        <v>10.582000000000001</v>
      </c>
    </row>
    <row r="296" spans="1:11">
      <c r="A296" s="47" t="s">
        <v>869</v>
      </c>
      <c r="B296" s="47" t="s">
        <v>870</v>
      </c>
      <c r="C296" s="52" t="s">
        <v>871</v>
      </c>
      <c r="D296" s="55">
        <v>125267</v>
      </c>
      <c r="E296" s="81">
        <v>0.6</v>
      </c>
      <c r="F296" s="50">
        <v>0.43190000000000001</v>
      </c>
      <c r="G296" s="50">
        <v>0.25913999999999998</v>
      </c>
      <c r="H296" s="54">
        <v>9.5881799999999995</v>
      </c>
      <c r="I296" s="65">
        <v>1.1000000000000001</v>
      </c>
      <c r="J296" s="54">
        <v>0.95881800000000084</v>
      </c>
      <c r="K296" s="76">
        <v>10.546998</v>
      </c>
    </row>
    <row r="297" spans="1:11">
      <c r="A297" s="47" t="s">
        <v>926</v>
      </c>
      <c r="B297" s="47" t="s">
        <v>927</v>
      </c>
      <c r="C297" s="52" t="s">
        <v>925</v>
      </c>
      <c r="D297" s="55">
        <v>54000</v>
      </c>
      <c r="E297" s="81">
        <v>0.57999999999999996</v>
      </c>
      <c r="F297" s="50">
        <v>0.40539999999999998</v>
      </c>
      <c r="G297" s="50">
        <v>0.23513200000000001</v>
      </c>
      <c r="H297" s="54">
        <v>8.6998839999999991</v>
      </c>
      <c r="I297" s="65">
        <v>1.2</v>
      </c>
      <c r="J297" s="54">
        <v>1.7399767999999991</v>
      </c>
      <c r="K297" s="76">
        <v>10.4398608</v>
      </c>
    </row>
    <row r="298" spans="1:11">
      <c r="A298" s="47" t="s">
        <v>884</v>
      </c>
      <c r="B298" s="47" t="s">
        <v>885</v>
      </c>
      <c r="C298" s="52" t="s">
        <v>871</v>
      </c>
      <c r="D298" s="55">
        <v>125267</v>
      </c>
      <c r="E298" s="81">
        <v>0.6</v>
      </c>
      <c r="F298" s="50">
        <v>0.42499999999999999</v>
      </c>
      <c r="G298" s="50">
        <v>0.255</v>
      </c>
      <c r="H298" s="54">
        <v>9.4350000000000005</v>
      </c>
      <c r="I298" s="65">
        <v>1.1000000000000001</v>
      </c>
      <c r="J298" s="54">
        <v>0.94350000000000089</v>
      </c>
      <c r="K298" s="76">
        <v>10.378500000000001</v>
      </c>
    </row>
    <row r="299" spans="1:11">
      <c r="A299" s="47" t="s">
        <v>797</v>
      </c>
      <c r="B299" s="47" t="s">
        <v>798</v>
      </c>
      <c r="C299" s="52" t="s">
        <v>770</v>
      </c>
      <c r="D299" s="55">
        <v>64200</v>
      </c>
      <c r="E299" s="81">
        <v>0.57999999999999996</v>
      </c>
      <c r="F299" s="50">
        <v>0.43809999999999999</v>
      </c>
      <c r="G299" s="50">
        <v>0.25409799999999999</v>
      </c>
      <c r="H299" s="54">
        <v>9.4016260000000003</v>
      </c>
      <c r="I299" s="65">
        <v>1.1000000000000001</v>
      </c>
      <c r="J299" s="54">
        <v>0.94016260000000085</v>
      </c>
      <c r="K299" s="76">
        <v>10.341788599999999</v>
      </c>
    </row>
    <row r="300" spans="1:11">
      <c r="A300" s="47" t="s">
        <v>882</v>
      </c>
      <c r="B300" s="47" t="s">
        <v>883</v>
      </c>
      <c r="C300" s="52" t="s">
        <v>871</v>
      </c>
      <c r="D300" s="55">
        <v>125267</v>
      </c>
      <c r="E300" s="81">
        <v>0.6</v>
      </c>
      <c r="F300" s="50">
        <v>0.41710000000000003</v>
      </c>
      <c r="G300" s="50">
        <v>0.25025999999999998</v>
      </c>
      <c r="H300" s="54">
        <v>9.25962</v>
      </c>
      <c r="I300" s="65">
        <v>1.1000000000000001</v>
      </c>
      <c r="J300" s="54">
        <v>0.92596200000000084</v>
      </c>
      <c r="K300" s="76">
        <v>10.185582</v>
      </c>
    </row>
    <row r="301" spans="1:11">
      <c r="A301" s="47" t="s">
        <v>888</v>
      </c>
      <c r="B301" s="47" t="s">
        <v>889</v>
      </c>
      <c r="C301" s="52" t="s">
        <v>871</v>
      </c>
      <c r="D301" s="55">
        <v>125267</v>
      </c>
      <c r="E301" s="81">
        <v>0.6</v>
      </c>
      <c r="F301" s="50">
        <v>0.41710000000000003</v>
      </c>
      <c r="G301" s="50">
        <v>0.25025999999999998</v>
      </c>
      <c r="H301" s="54">
        <v>9.25962</v>
      </c>
      <c r="I301" s="65">
        <v>1.1000000000000001</v>
      </c>
      <c r="J301" s="54">
        <v>0.92596200000000084</v>
      </c>
      <c r="K301" s="76">
        <v>10.185582</v>
      </c>
    </row>
    <row r="302" spans="1:11">
      <c r="A302" s="47" t="s">
        <v>890</v>
      </c>
      <c r="B302" s="47" t="s">
        <v>891</v>
      </c>
      <c r="C302" s="52" t="s">
        <v>871</v>
      </c>
      <c r="D302" s="55">
        <v>125267</v>
      </c>
      <c r="E302" s="81">
        <v>0.6</v>
      </c>
      <c r="F302" s="50">
        <v>0.41349999999999998</v>
      </c>
      <c r="G302" s="50">
        <v>0.24809999999999999</v>
      </c>
      <c r="H302" s="54">
        <v>9.1797000000000004</v>
      </c>
      <c r="I302" s="65">
        <v>1.1000000000000001</v>
      </c>
      <c r="J302" s="54">
        <v>0.91797000000000084</v>
      </c>
      <c r="K302" s="76">
        <v>10.097670000000001</v>
      </c>
    </row>
    <row r="303" spans="1:11">
      <c r="A303" s="47" t="s">
        <v>878</v>
      </c>
      <c r="B303" s="47" t="s">
        <v>879</v>
      </c>
      <c r="C303" s="52" t="s">
        <v>871</v>
      </c>
      <c r="D303" s="55">
        <v>125267</v>
      </c>
      <c r="E303" s="81">
        <v>0.6</v>
      </c>
      <c r="F303" s="50">
        <v>0.41199999999999998</v>
      </c>
      <c r="G303" s="50">
        <v>0.2472</v>
      </c>
      <c r="H303" s="54">
        <v>9.1463999999999999</v>
      </c>
      <c r="I303" s="65">
        <v>1.1000000000000001</v>
      </c>
      <c r="J303" s="54">
        <v>0.91464000000000079</v>
      </c>
      <c r="K303" s="76">
        <v>10.06104</v>
      </c>
    </row>
    <row r="304" spans="1:11">
      <c r="A304" s="47" t="s">
        <v>909</v>
      </c>
      <c r="B304" s="47" t="s">
        <v>910</v>
      </c>
      <c r="C304" s="52" t="s">
        <v>902</v>
      </c>
      <c r="D304" s="55">
        <v>69455</v>
      </c>
      <c r="E304" s="81">
        <v>0.55000000000000004</v>
      </c>
      <c r="F304" s="50">
        <v>0.41199999999999998</v>
      </c>
      <c r="G304" s="50">
        <v>0.2266</v>
      </c>
      <c r="H304" s="54">
        <v>8.3841999999999999</v>
      </c>
      <c r="I304" s="65">
        <v>1.2</v>
      </c>
      <c r="J304" s="54">
        <v>1.6768400000000001</v>
      </c>
      <c r="K304" s="76">
        <v>10.06104</v>
      </c>
    </row>
    <row r="305" spans="1:11">
      <c r="A305" s="47" t="s">
        <v>894</v>
      </c>
      <c r="B305" s="47" t="s">
        <v>895</v>
      </c>
      <c r="C305" s="52" t="s">
        <v>871</v>
      </c>
      <c r="D305" s="55">
        <v>125267</v>
      </c>
      <c r="E305" s="81">
        <v>0.6</v>
      </c>
      <c r="F305" s="50">
        <v>0.41089999999999999</v>
      </c>
      <c r="G305" s="50">
        <v>0.24654000000000001</v>
      </c>
      <c r="H305" s="54">
        <v>9.1219800000000006</v>
      </c>
      <c r="I305" s="65">
        <v>1.1000000000000001</v>
      </c>
      <c r="J305" s="54">
        <v>0.91219800000000084</v>
      </c>
      <c r="K305" s="76">
        <v>10.034178000000001</v>
      </c>
    </row>
    <row r="306" spans="1:11">
      <c r="A306" s="47" t="s">
        <v>880</v>
      </c>
      <c r="B306" s="47" t="s">
        <v>881</v>
      </c>
      <c r="C306" s="52" t="s">
        <v>871</v>
      </c>
      <c r="D306" s="55">
        <v>125267</v>
      </c>
      <c r="E306" s="81">
        <v>0.6</v>
      </c>
      <c r="F306" s="50">
        <v>0.40010000000000001</v>
      </c>
      <c r="G306" s="50">
        <v>0.24006</v>
      </c>
      <c r="H306" s="54">
        <v>8.8822199999999984</v>
      </c>
      <c r="I306" s="65">
        <v>1.1000000000000001</v>
      </c>
      <c r="J306" s="54">
        <v>0.88822200000000062</v>
      </c>
      <c r="K306" s="76">
        <v>9.7704419999999992</v>
      </c>
    </row>
    <row r="307" spans="1:11">
      <c r="A307" s="47" t="s">
        <v>845</v>
      </c>
      <c r="B307" s="47" t="s">
        <v>846</v>
      </c>
      <c r="C307" s="52" t="s">
        <v>836</v>
      </c>
      <c r="D307" s="55">
        <v>42000</v>
      </c>
      <c r="E307" s="81">
        <v>0.57999999999999996</v>
      </c>
      <c r="F307" s="50">
        <v>0.41349999999999998</v>
      </c>
      <c r="G307" s="50">
        <v>0.23982999999999999</v>
      </c>
      <c r="H307" s="54">
        <v>8.8737100000000009</v>
      </c>
      <c r="I307" s="65">
        <v>1.1000000000000001</v>
      </c>
      <c r="J307" s="54">
        <v>0.88737100000000091</v>
      </c>
      <c r="K307" s="76">
        <v>9.7610810000000026</v>
      </c>
    </row>
    <row r="308" spans="1:11">
      <c r="A308" s="47" t="s">
        <v>1099</v>
      </c>
      <c r="B308" s="47" t="s">
        <v>1100</v>
      </c>
      <c r="C308" s="52" t="s">
        <v>1060</v>
      </c>
      <c r="D308" s="55">
        <v>94680</v>
      </c>
      <c r="E308" s="81">
        <v>0.55000000000000004</v>
      </c>
      <c r="F308" s="50">
        <v>0.47620000000000001</v>
      </c>
      <c r="G308" s="50">
        <v>0.26190999999999998</v>
      </c>
      <c r="H308" s="54">
        <v>9.690669999999999</v>
      </c>
      <c r="I308" s="65">
        <v>1</v>
      </c>
      <c r="J308" s="54">
        <v>0</v>
      </c>
      <c r="K308" s="76">
        <v>9.690669999999999</v>
      </c>
    </row>
    <row r="309" spans="1:11">
      <c r="A309" s="47" t="s">
        <v>986</v>
      </c>
      <c r="B309" s="47" t="s">
        <v>987</v>
      </c>
      <c r="C309" s="52" t="s">
        <v>973</v>
      </c>
      <c r="D309" s="55">
        <v>40308</v>
      </c>
      <c r="E309" s="81">
        <v>0.6</v>
      </c>
      <c r="F309" s="50">
        <v>0.42930000000000001</v>
      </c>
      <c r="G309" s="50">
        <v>0.25757999999999998</v>
      </c>
      <c r="H309" s="54">
        <v>9.5304599999999997</v>
      </c>
      <c r="I309" s="65">
        <v>1</v>
      </c>
      <c r="J309" s="54">
        <v>0</v>
      </c>
      <c r="K309" s="76">
        <v>9.5304599999999997</v>
      </c>
    </row>
    <row r="310" spans="1:11">
      <c r="A310" s="47" t="s">
        <v>757</v>
      </c>
      <c r="B310" s="47" t="s">
        <v>758</v>
      </c>
      <c r="C310" s="52" t="s">
        <v>759</v>
      </c>
      <c r="D310" s="55">
        <v>42400</v>
      </c>
      <c r="E310" s="81">
        <v>0.6</v>
      </c>
      <c r="F310" s="50">
        <v>0.38909999999999989</v>
      </c>
      <c r="G310" s="50">
        <v>0.23345999999999989</v>
      </c>
      <c r="H310" s="54">
        <v>8.6380199999999974</v>
      </c>
      <c r="I310" s="65">
        <v>1.1000000000000001</v>
      </c>
      <c r="J310" s="54">
        <v>0.86380200000000051</v>
      </c>
      <c r="K310" s="76">
        <v>9.5018219999999971</v>
      </c>
    </row>
    <row r="311" spans="1:11">
      <c r="A311" s="47" t="s">
        <v>865</v>
      </c>
      <c r="B311" s="47" t="s">
        <v>866</v>
      </c>
      <c r="C311" s="52" t="s">
        <v>836</v>
      </c>
      <c r="D311" s="55">
        <v>42000</v>
      </c>
      <c r="E311" s="81">
        <v>0.57999999999999996</v>
      </c>
      <c r="F311" s="50">
        <v>0.39610000000000001</v>
      </c>
      <c r="G311" s="50">
        <v>0.229738</v>
      </c>
      <c r="H311" s="54">
        <v>8.5003060000000001</v>
      </c>
      <c r="I311" s="65">
        <v>1.1000000000000001</v>
      </c>
      <c r="J311" s="54">
        <v>0.85003060000000075</v>
      </c>
      <c r="K311" s="76">
        <v>9.3503366000000003</v>
      </c>
    </row>
    <row r="312" spans="1:11">
      <c r="A312" s="47" t="s">
        <v>1061</v>
      </c>
      <c r="B312" s="47" t="s">
        <v>1062</v>
      </c>
      <c r="C312" s="52" t="s">
        <v>1060</v>
      </c>
      <c r="D312" s="55">
        <v>94680</v>
      </c>
      <c r="E312" s="81">
        <v>0.55000000000000004</v>
      </c>
      <c r="F312" s="50">
        <v>0.45739999999999997</v>
      </c>
      <c r="G312" s="50">
        <v>0.25157000000000002</v>
      </c>
      <c r="H312" s="54">
        <v>9.30809</v>
      </c>
      <c r="I312" s="65">
        <v>1</v>
      </c>
      <c r="J312" s="54">
        <v>0</v>
      </c>
      <c r="K312" s="76">
        <v>9.30809</v>
      </c>
    </row>
    <row r="313" spans="1:11">
      <c r="A313" s="47" t="s">
        <v>898</v>
      </c>
      <c r="B313" s="47" t="s">
        <v>899</v>
      </c>
      <c r="C313" s="52" t="s">
        <v>871</v>
      </c>
      <c r="D313" s="55">
        <v>125267</v>
      </c>
      <c r="E313" s="81">
        <v>0.6</v>
      </c>
      <c r="F313" s="50">
        <v>0.37509999999999999</v>
      </c>
      <c r="G313" s="50">
        <v>0.22506000000000001</v>
      </c>
      <c r="H313" s="54">
        <v>8.3272199999999987</v>
      </c>
      <c r="I313" s="65">
        <v>1.1000000000000001</v>
      </c>
      <c r="J313" s="54">
        <v>0.83272200000000063</v>
      </c>
      <c r="K313" s="76">
        <v>9.1599419999999991</v>
      </c>
    </row>
    <row r="314" spans="1:11">
      <c r="A314" s="47" t="s">
        <v>855</v>
      </c>
      <c r="B314" s="47" t="s">
        <v>856</v>
      </c>
      <c r="C314" s="52" t="s">
        <v>836</v>
      </c>
      <c r="D314" s="55">
        <v>42000</v>
      </c>
      <c r="E314" s="81">
        <v>0.57999999999999996</v>
      </c>
      <c r="F314" s="50">
        <v>0.37609999999999999</v>
      </c>
      <c r="G314" s="50">
        <v>0.218138</v>
      </c>
      <c r="H314" s="54">
        <v>8.0711059999999986</v>
      </c>
      <c r="I314" s="65">
        <v>1.1000000000000001</v>
      </c>
      <c r="J314" s="54">
        <v>0.80711060000000057</v>
      </c>
      <c r="K314" s="76">
        <v>8.8782166</v>
      </c>
    </row>
    <row r="315" spans="1:11">
      <c r="A315" s="47" t="s">
        <v>638</v>
      </c>
      <c r="B315" s="47" t="s">
        <v>639</v>
      </c>
      <c r="C315" s="52" t="s">
        <v>635</v>
      </c>
      <c r="D315" s="55">
        <v>64618</v>
      </c>
      <c r="E315" s="81">
        <v>0.5</v>
      </c>
      <c r="F315" s="50">
        <v>0.26329999999999998</v>
      </c>
      <c r="G315" s="50">
        <v>0.13164999999999999</v>
      </c>
      <c r="H315" s="54">
        <v>4.8710500000000003</v>
      </c>
      <c r="I315" s="65">
        <v>1.8</v>
      </c>
      <c r="J315" s="54">
        <v>3.896840000000001</v>
      </c>
      <c r="K315" s="76">
        <v>8.7678900000000013</v>
      </c>
    </row>
    <row r="316" spans="1:11">
      <c r="A316" s="47" t="s">
        <v>799</v>
      </c>
      <c r="B316" s="47" t="s">
        <v>800</v>
      </c>
      <c r="C316" s="52" t="s">
        <v>770</v>
      </c>
      <c r="D316" s="55">
        <v>64200</v>
      </c>
      <c r="E316" s="81">
        <v>0.57999999999999996</v>
      </c>
      <c r="F316" s="50">
        <v>0.36959999999999998</v>
      </c>
      <c r="G316" s="50">
        <v>0.214368</v>
      </c>
      <c r="H316" s="54">
        <v>7.9316159999999991</v>
      </c>
      <c r="I316" s="65">
        <v>1.1000000000000001</v>
      </c>
      <c r="J316" s="54">
        <v>0.79316160000000058</v>
      </c>
      <c r="K316" s="76">
        <v>8.7247775999999995</v>
      </c>
    </row>
    <row r="317" spans="1:11">
      <c r="A317" s="47" t="s">
        <v>1008</v>
      </c>
      <c r="B317" s="47" t="s">
        <v>1009</v>
      </c>
      <c r="C317" s="52" t="s">
        <v>973</v>
      </c>
      <c r="D317" s="55">
        <v>40308</v>
      </c>
      <c r="E317" s="81">
        <v>0.6</v>
      </c>
      <c r="F317" s="50">
        <v>0.39179999999999998</v>
      </c>
      <c r="G317" s="50">
        <v>0.23508000000000001</v>
      </c>
      <c r="H317" s="54">
        <v>8.6979600000000001</v>
      </c>
      <c r="I317" s="65">
        <v>1</v>
      </c>
      <c r="J317" s="54">
        <v>0</v>
      </c>
      <c r="K317" s="76">
        <v>8.6979600000000001</v>
      </c>
    </row>
    <row r="318" spans="1:11">
      <c r="A318" s="47" t="s">
        <v>867</v>
      </c>
      <c r="B318" s="47" t="s">
        <v>868</v>
      </c>
      <c r="C318" s="52" t="s">
        <v>836</v>
      </c>
      <c r="D318" s="55">
        <v>42000</v>
      </c>
      <c r="E318" s="81">
        <v>0.57999999999999996</v>
      </c>
      <c r="F318" s="50">
        <v>0.36649999999999999</v>
      </c>
      <c r="G318" s="50">
        <v>0.21257000000000001</v>
      </c>
      <c r="H318" s="54">
        <v>7.8650899999999986</v>
      </c>
      <c r="I318" s="65">
        <v>1.1000000000000001</v>
      </c>
      <c r="J318" s="54">
        <v>0.78650900000000068</v>
      </c>
      <c r="K318" s="76">
        <v>8.6515990000000009</v>
      </c>
    </row>
    <row r="319" spans="1:11">
      <c r="A319" s="47" t="s">
        <v>907</v>
      </c>
      <c r="B319" s="47" t="s">
        <v>908</v>
      </c>
      <c r="C319" s="52" t="s">
        <v>902</v>
      </c>
      <c r="D319" s="55">
        <v>69455</v>
      </c>
      <c r="E319" s="81">
        <v>0.55000000000000004</v>
      </c>
      <c r="F319" s="50">
        <v>0.3538</v>
      </c>
      <c r="G319" s="50">
        <v>0.19459000000000001</v>
      </c>
      <c r="H319" s="54">
        <v>7.1998300000000004</v>
      </c>
      <c r="I319" s="65">
        <v>1.2</v>
      </c>
      <c r="J319" s="54">
        <v>1.4399660000000001</v>
      </c>
      <c r="K319" s="76">
        <v>8.6397960000000005</v>
      </c>
    </row>
    <row r="320" spans="1:11">
      <c r="A320" s="47" t="s">
        <v>917</v>
      </c>
      <c r="B320" s="47" t="s">
        <v>918</v>
      </c>
      <c r="C320" s="52" t="s">
        <v>902</v>
      </c>
      <c r="D320" s="55">
        <v>69455</v>
      </c>
      <c r="E320" s="81">
        <v>0.55000000000000004</v>
      </c>
      <c r="F320" s="50">
        <v>0.3538</v>
      </c>
      <c r="G320" s="50">
        <v>0.19459000000000001</v>
      </c>
      <c r="H320" s="54">
        <v>7.1998300000000004</v>
      </c>
      <c r="I320" s="65">
        <v>1.2</v>
      </c>
      <c r="J320" s="54">
        <v>1.4399660000000001</v>
      </c>
      <c r="K320" s="76">
        <v>8.6397960000000005</v>
      </c>
    </row>
    <row r="321" spans="1:11">
      <c r="A321" s="47" t="s">
        <v>787</v>
      </c>
      <c r="B321" s="47" t="s">
        <v>788</v>
      </c>
      <c r="C321" s="52" t="s">
        <v>770</v>
      </c>
      <c r="D321" s="55">
        <v>64200</v>
      </c>
      <c r="E321" s="81">
        <v>0.57999999999999996</v>
      </c>
      <c r="F321" s="50">
        <v>0.3624</v>
      </c>
      <c r="G321" s="50">
        <v>0.21019199999999999</v>
      </c>
      <c r="H321" s="54">
        <v>7.7771039999999996</v>
      </c>
      <c r="I321" s="65">
        <v>1.1000000000000001</v>
      </c>
      <c r="J321" s="54">
        <v>0.77771040000000069</v>
      </c>
      <c r="K321" s="76">
        <v>8.5548143999999997</v>
      </c>
    </row>
    <row r="322" spans="1:11">
      <c r="A322" s="47" t="s">
        <v>896</v>
      </c>
      <c r="B322" s="47" t="s">
        <v>897</v>
      </c>
      <c r="C322" s="52" t="s">
        <v>871</v>
      </c>
      <c r="D322" s="55">
        <v>125267</v>
      </c>
      <c r="E322" s="81">
        <v>0.6</v>
      </c>
      <c r="F322" s="50">
        <v>0.35020000000000001</v>
      </c>
      <c r="G322" s="50">
        <v>0.21012</v>
      </c>
      <c r="H322" s="54">
        <v>7.7744400000000002</v>
      </c>
      <c r="I322" s="65">
        <v>1.1000000000000001</v>
      </c>
      <c r="J322" s="54">
        <v>0.77744400000000069</v>
      </c>
      <c r="K322" s="76">
        <v>8.5518840000000012</v>
      </c>
    </row>
    <row r="323" spans="1:11">
      <c r="A323" s="47" t="s">
        <v>775</v>
      </c>
      <c r="B323" s="47" t="s">
        <v>776</v>
      </c>
      <c r="C323" s="52" t="s">
        <v>770</v>
      </c>
      <c r="D323" s="55">
        <v>64200</v>
      </c>
      <c r="E323" s="81">
        <v>0.57999999999999996</v>
      </c>
      <c r="F323" s="50">
        <v>0.35970000000000002</v>
      </c>
      <c r="G323" s="50">
        <v>0.20862600000000001</v>
      </c>
      <c r="H323" s="54">
        <v>7.719161999999999</v>
      </c>
      <c r="I323" s="65">
        <v>1.1000000000000001</v>
      </c>
      <c r="J323" s="54">
        <v>0.77191620000000061</v>
      </c>
      <c r="K323" s="76">
        <v>8.4910781999999987</v>
      </c>
    </row>
    <row r="324" spans="1:11">
      <c r="A324" s="47" t="s">
        <v>982</v>
      </c>
      <c r="B324" s="47" t="s">
        <v>983</v>
      </c>
      <c r="C324" s="52" t="s">
        <v>973</v>
      </c>
      <c r="D324" s="55">
        <v>40308</v>
      </c>
      <c r="E324" s="81">
        <v>0.6</v>
      </c>
      <c r="F324" s="50">
        <v>0.38</v>
      </c>
      <c r="G324" s="50">
        <v>0.22800000000000001</v>
      </c>
      <c r="H324" s="54">
        <v>8.4359999999999999</v>
      </c>
      <c r="I324" s="65">
        <v>1</v>
      </c>
      <c r="J324" s="54">
        <v>0</v>
      </c>
      <c r="K324" s="76">
        <v>8.4359999999999999</v>
      </c>
    </row>
    <row r="325" spans="1:11">
      <c r="A325" s="47" t="s">
        <v>998</v>
      </c>
      <c r="B325" s="47" t="s">
        <v>999</v>
      </c>
      <c r="C325" s="52" t="s">
        <v>973</v>
      </c>
      <c r="D325" s="55">
        <v>40308</v>
      </c>
      <c r="E325" s="81">
        <v>0.6</v>
      </c>
      <c r="F325" s="50">
        <v>0.38</v>
      </c>
      <c r="G325" s="50">
        <v>0.22800000000000001</v>
      </c>
      <c r="H325" s="54">
        <v>8.4359999999999999</v>
      </c>
      <c r="I325" s="65">
        <v>1</v>
      </c>
      <c r="J325" s="54">
        <v>0</v>
      </c>
      <c r="K325" s="76">
        <v>8.4359999999999999</v>
      </c>
    </row>
    <row r="326" spans="1:11">
      <c r="A326" s="47" t="s">
        <v>841</v>
      </c>
      <c r="B326" s="47" t="s">
        <v>842</v>
      </c>
      <c r="C326" s="52" t="s">
        <v>836</v>
      </c>
      <c r="D326" s="55">
        <v>42000</v>
      </c>
      <c r="E326" s="81">
        <v>0.57999999999999996</v>
      </c>
      <c r="F326" s="50">
        <v>0.35299999999999998</v>
      </c>
      <c r="G326" s="50">
        <v>0.20474000000000001</v>
      </c>
      <c r="H326" s="54">
        <v>7.5753799999999991</v>
      </c>
      <c r="I326" s="65">
        <v>1.1000000000000001</v>
      </c>
      <c r="J326" s="54">
        <v>0.7575380000000006</v>
      </c>
      <c r="K326" s="76">
        <v>8.3329179999999994</v>
      </c>
    </row>
    <row r="327" spans="1:11">
      <c r="A327" s="47" t="s">
        <v>773</v>
      </c>
      <c r="B327" s="47" t="s">
        <v>774</v>
      </c>
      <c r="C327" s="52" t="s">
        <v>770</v>
      </c>
      <c r="D327" s="55">
        <v>64200</v>
      </c>
      <c r="E327" s="81">
        <v>0.57999999999999996</v>
      </c>
      <c r="F327" s="50">
        <v>0.35220000000000001</v>
      </c>
      <c r="G327" s="50">
        <v>0.20427600000000001</v>
      </c>
      <c r="H327" s="54">
        <v>7.5582119999999993</v>
      </c>
      <c r="I327" s="65">
        <v>1.1000000000000001</v>
      </c>
      <c r="J327" s="54">
        <v>0.75582120000000064</v>
      </c>
      <c r="K327" s="76">
        <v>8.314033199999999</v>
      </c>
    </row>
    <row r="328" spans="1:11">
      <c r="A328" s="47" t="s">
        <v>1091</v>
      </c>
      <c r="B328" s="47" t="s">
        <v>1092</v>
      </c>
      <c r="C328" s="52" t="s">
        <v>1060</v>
      </c>
      <c r="D328" s="55">
        <v>94680</v>
      </c>
      <c r="E328" s="81">
        <v>0.55000000000000004</v>
      </c>
      <c r="F328" s="50">
        <v>0.4052</v>
      </c>
      <c r="G328" s="50">
        <v>0.22286</v>
      </c>
      <c r="H328" s="54">
        <v>8.2458200000000019</v>
      </c>
      <c r="I328" s="65">
        <v>1</v>
      </c>
      <c r="J328" s="54">
        <v>0</v>
      </c>
      <c r="K328" s="76">
        <v>8.2458200000000019</v>
      </c>
    </row>
    <row r="329" spans="1:11">
      <c r="A329" s="47" t="s">
        <v>760</v>
      </c>
      <c r="B329" s="47" t="s">
        <v>761</v>
      </c>
      <c r="C329" s="52" t="s">
        <v>759</v>
      </c>
      <c r="D329" s="55">
        <v>42400</v>
      </c>
      <c r="E329" s="81">
        <v>0.6</v>
      </c>
      <c r="F329" s="50">
        <v>0.33379999999999999</v>
      </c>
      <c r="G329" s="50">
        <v>0.20028000000000001</v>
      </c>
      <c r="H329" s="54">
        <v>7.4103600000000007</v>
      </c>
      <c r="I329" s="65">
        <v>1.1000000000000001</v>
      </c>
      <c r="J329" s="54">
        <v>0.74103600000000069</v>
      </c>
      <c r="K329" s="76">
        <v>8.1513960000000019</v>
      </c>
    </row>
    <row r="330" spans="1:11">
      <c r="A330" s="47" t="s">
        <v>781</v>
      </c>
      <c r="B330" s="47" t="s">
        <v>782</v>
      </c>
      <c r="C330" s="52" t="s">
        <v>770</v>
      </c>
      <c r="D330" s="55">
        <v>64200</v>
      </c>
      <c r="E330" s="81">
        <v>0.57999999999999996</v>
      </c>
      <c r="F330" s="50">
        <v>0.34119999999999989</v>
      </c>
      <c r="G330" s="50">
        <v>0.19789599999999999</v>
      </c>
      <c r="H330" s="54">
        <v>7.3221519999999982</v>
      </c>
      <c r="I330" s="65">
        <v>1.1000000000000001</v>
      </c>
      <c r="J330" s="54">
        <v>0.73221520000000051</v>
      </c>
      <c r="K330" s="76">
        <v>8.054367199999998</v>
      </c>
    </row>
    <row r="331" spans="1:11">
      <c r="A331" s="47" t="s">
        <v>863</v>
      </c>
      <c r="B331" s="47" t="s">
        <v>864</v>
      </c>
      <c r="C331" s="52" t="s">
        <v>836</v>
      </c>
      <c r="D331" s="55">
        <v>42000</v>
      </c>
      <c r="E331" s="81">
        <v>0.57999999999999996</v>
      </c>
      <c r="F331" s="50">
        <v>0.3392</v>
      </c>
      <c r="G331" s="50">
        <v>0.19673599999999999</v>
      </c>
      <c r="H331" s="54">
        <v>7.2792319999999986</v>
      </c>
      <c r="I331" s="65">
        <v>1.1000000000000001</v>
      </c>
      <c r="J331" s="54">
        <v>0.72792320000000055</v>
      </c>
      <c r="K331" s="76">
        <v>8.0071551999999997</v>
      </c>
    </row>
    <row r="332" spans="1:11">
      <c r="A332" s="47" t="s">
        <v>861</v>
      </c>
      <c r="B332" s="47" t="s">
        <v>862</v>
      </c>
      <c r="C332" s="52" t="s">
        <v>836</v>
      </c>
      <c r="D332" s="55">
        <v>42000</v>
      </c>
      <c r="E332" s="81">
        <v>0.57999999999999996</v>
      </c>
      <c r="F332" s="50">
        <v>0.3387</v>
      </c>
      <c r="G332" s="50">
        <v>0.19644600000000001</v>
      </c>
      <c r="H332" s="54">
        <v>7.2685019999999989</v>
      </c>
      <c r="I332" s="65">
        <v>1.1000000000000001</v>
      </c>
      <c r="J332" s="54">
        <v>0.72685020000000056</v>
      </c>
      <c r="K332" s="76">
        <v>7.9953521999999992</v>
      </c>
    </row>
    <row r="333" spans="1:11">
      <c r="A333" s="47" t="s">
        <v>978</v>
      </c>
      <c r="B333" s="47" t="s">
        <v>979</v>
      </c>
      <c r="C333" s="52" t="s">
        <v>973</v>
      </c>
      <c r="D333" s="55">
        <v>40308</v>
      </c>
      <c r="E333" s="81">
        <v>0.6</v>
      </c>
      <c r="F333" s="50">
        <v>0.35260000000000002</v>
      </c>
      <c r="G333" s="50">
        <v>0.21156</v>
      </c>
      <c r="H333" s="54">
        <v>7.8277199999999993</v>
      </c>
      <c r="I333" s="65">
        <v>1</v>
      </c>
      <c r="J333" s="54">
        <v>0</v>
      </c>
      <c r="K333" s="76">
        <v>7.8277199999999993</v>
      </c>
    </row>
    <row r="334" spans="1:11">
      <c r="A334" s="47" t="s">
        <v>766</v>
      </c>
      <c r="B334" s="47" t="s">
        <v>767</v>
      </c>
      <c r="C334" s="52" t="s">
        <v>759</v>
      </c>
      <c r="D334" s="55">
        <v>42400</v>
      </c>
      <c r="E334" s="81">
        <v>0.6</v>
      </c>
      <c r="F334" s="50">
        <v>0.31869999999999998</v>
      </c>
      <c r="G334" s="50">
        <v>0.19122</v>
      </c>
      <c r="H334" s="54">
        <v>7.0751399999999993</v>
      </c>
      <c r="I334" s="65">
        <v>1.1000000000000001</v>
      </c>
      <c r="J334" s="54">
        <v>0.70751400000000053</v>
      </c>
      <c r="K334" s="76">
        <v>7.782654</v>
      </c>
    </row>
    <row r="335" spans="1:11">
      <c r="A335" s="47" t="s">
        <v>762</v>
      </c>
      <c r="B335" s="47" t="s">
        <v>763</v>
      </c>
      <c r="C335" s="52" t="s">
        <v>759</v>
      </c>
      <c r="D335" s="55">
        <v>42400</v>
      </c>
      <c r="E335" s="81">
        <v>0.6</v>
      </c>
      <c r="F335" s="50">
        <v>0.31430000000000002</v>
      </c>
      <c r="G335" s="50">
        <v>0.18858</v>
      </c>
      <c r="H335" s="54">
        <v>6.9774599999999998</v>
      </c>
      <c r="I335" s="65">
        <v>1.1000000000000001</v>
      </c>
      <c r="J335" s="54">
        <v>0.69774600000000064</v>
      </c>
      <c r="K335" s="76">
        <v>7.6752060000000002</v>
      </c>
    </row>
    <row r="336" spans="1:11">
      <c r="A336" s="47" t="s">
        <v>768</v>
      </c>
      <c r="B336" s="47" t="s">
        <v>769</v>
      </c>
      <c r="C336" s="52" t="s">
        <v>770</v>
      </c>
      <c r="D336" s="55">
        <v>64200</v>
      </c>
      <c r="E336" s="81">
        <v>0.57999999999999996</v>
      </c>
      <c r="F336" s="50">
        <v>0.32379999999999998</v>
      </c>
      <c r="G336" s="50">
        <v>0.187804</v>
      </c>
      <c r="H336" s="54">
        <v>6.9487480000000001</v>
      </c>
      <c r="I336" s="65">
        <v>1.1000000000000001</v>
      </c>
      <c r="J336" s="54">
        <v>0.69487480000000068</v>
      </c>
      <c r="K336" s="76">
        <v>7.643622800000001</v>
      </c>
    </row>
    <row r="337" spans="1:11">
      <c r="A337" s="47" t="s">
        <v>771</v>
      </c>
      <c r="B337" s="47" t="s">
        <v>772</v>
      </c>
      <c r="C337" s="52" t="s">
        <v>770</v>
      </c>
      <c r="D337" s="55">
        <v>64200</v>
      </c>
      <c r="E337" s="81">
        <v>0.57999999999999996</v>
      </c>
      <c r="F337" s="50">
        <v>0.32379999999999998</v>
      </c>
      <c r="G337" s="50">
        <v>0.187804</v>
      </c>
      <c r="H337" s="54">
        <v>6.9487480000000001</v>
      </c>
      <c r="I337" s="65">
        <v>1.1000000000000001</v>
      </c>
      <c r="J337" s="54">
        <v>0.69487480000000068</v>
      </c>
      <c r="K337" s="76">
        <v>7.643622800000001</v>
      </c>
    </row>
    <row r="338" spans="1:11">
      <c r="A338" s="47" t="s">
        <v>1101</v>
      </c>
      <c r="B338" s="47" t="s">
        <v>1102</v>
      </c>
      <c r="C338" s="52" t="s">
        <v>1060</v>
      </c>
      <c r="D338" s="55">
        <v>94680</v>
      </c>
      <c r="E338" s="81">
        <v>0.55000000000000004</v>
      </c>
      <c r="F338" s="50">
        <v>0.37430000000000002</v>
      </c>
      <c r="G338" s="50">
        <v>0.20586499999999999</v>
      </c>
      <c r="H338" s="54">
        <v>7.6170050000000007</v>
      </c>
      <c r="I338" s="65">
        <v>1</v>
      </c>
      <c r="J338" s="54">
        <v>0</v>
      </c>
      <c r="K338" s="76">
        <v>7.6170050000000007</v>
      </c>
    </row>
    <row r="339" spans="1:11">
      <c r="A339" s="47" t="s">
        <v>824</v>
      </c>
      <c r="B339" s="47" t="s">
        <v>825</v>
      </c>
      <c r="C339" s="52" t="s">
        <v>811</v>
      </c>
      <c r="D339" s="55">
        <v>69250</v>
      </c>
      <c r="E339" s="81">
        <v>0.6</v>
      </c>
      <c r="F339" s="50">
        <v>0.30980000000000002</v>
      </c>
      <c r="G339" s="50">
        <v>0.18587999999999999</v>
      </c>
      <c r="H339" s="54">
        <v>6.8775600000000008</v>
      </c>
      <c r="I339" s="65">
        <v>1.1000000000000001</v>
      </c>
      <c r="J339" s="54">
        <v>0.6877560000000007</v>
      </c>
      <c r="K339" s="76">
        <v>7.565316000000001</v>
      </c>
    </row>
    <row r="340" spans="1:11">
      <c r="A340" s="47" t="s">
        <v>1002</v>
      </c>
      <c r="B340" s="47" t="s">
        <v>1003</v>
      </c>
      <c r="C340" s="52" t="s">
        <v>973</v>
      </c>
      <c r="D340" s="55">
        <v>40308</v>
      </c>
      <c r="E340" s="81">
        <v>0.6</v>
      </c>
      <c r="F340" s="50">
        <v>0.33910000000000001</v>
      </c>
      <c r="G340" s="50">
        <v>0.20346</v>
      </c>
      <c r="H340" s="54">
        <v>7.5280199999999997</v>
      </c>
      <c r="I340" s="65">
        <v>1</v>
      </c>
      <c r="J340" s="54">
        <v>0</v>
      </c>
      <c r="K340" s="76">
        <v>7.5280199999999997</v>
      </c>
    </row>
    <row r="341" spans="1:11">
      <c r="A341" s="47" t="s">
        <v>1069</v>
      </c>
      <c r="B341" s="47" t="s">
        <v>1070</v>
      </c>
      <c r="C341" s="52" t="s">
        <v>1060</v>
      </c>
      <c r="D341" s="55">
        <v>94680</v>
      </c>
      <c r="E341" s="81">
        <v>0.55000000000000004</v>
      </c>
      <c r="F341" s="50">
        <v>0.36930000000000002</v>
      </c>
      <c r="G341" s="50">
        <v>0.20311499999999999</v>
      </c>
      <c r="H341" s="54">
        <v>7.5152550000000007</v>
      </c>
      <c r="I341" s="65">
        <v>1</v>
      </c>
      <c r="J341" s="54">
        <v>0</v>
      </c>
      <c r="K341" s="76">
        <v>7.5152550000000007</v>
      </c>
    </row>
    <row r="342" spans="1:11">
      <c r="A342" s="47" t="s">
        <v>837</v>
      </c>
      <c r="B342" s="47" t="s">
        <v>838</v>
      </c>
      <c r="C342" s="52" t="s">
        <v>836</v>
      </c>
      <c r="D342" s="55">
        <v>42000</v>
      </c>
      <c r="E342" s="81">
        <v>0.57999999999999996</v>
      </c>
      <c r="F342" s="50">
        <v>0.316</v>
      </c>
      <c r="G342" s="50">
        <v>0.18328</v>
      </c>
      <c r="H342" s="54">
        <v>6.7813600000000003</v>
      </c>
      <c r="I342" s="65">
        <v>1.1000000000000001</v>
      </c>
      <c r="J342" s="54">
        <v>0.67813600000000063</v>
      </c>
      <c r="K342" s="76">
        <v>7.4594960000000006</v>
      </c>
    </row>
    <row r="343" spans="1:11">
      <c r="A343" s="47" t="s">
        <v>839</v>
      </c>
      <c r="B343" s="47" t="s">
        <v>840</v>
      </c>
      <c r="C343" s="52" t="s">
        <v>836</v>
      </c>
      <c r="D343" s="55">
        <v>42000</v>
      </c>
      <c r="E343" s="81">
        <v>0.57999999999999996</v>
      </c>
      <c r="F343" s="50">
        <v>0.316</v>
      </c>
      <c r="G343" s="50">
        <v>0.18328</v>
      </c>
      <c r="H343" s="54">
        <v>6.7813600000000003</v>
      </c>
      <c r="I343" s="65">
        <v>1.1000000000000001</v>
      </c>
      <c r="J343" s="54">
        <v>0.67813600000000063</v>
      </c>
      <c r="K343" s="76">
        <v>7.4594960000000006</v>
      </c>
    </row>
    <row r="344" spans="1:11">
      <c r="A344" s="47" t="s">
        <v>820</v>
      </c>
      <c r="B344" s="47" t="s">
        <v>821</v>
      </c>
      <c r="C344" s="52" t="s">
        <v>811</v>
      </c>
      <c r="D344" s="55">
        <v>69250</v>
      </c>
      <c r="E344" s="81">
        <v>0.6</v>
      </c>
      <c r="F344" s="50">
        <v>0.30430000000000001</v>
      </c>
      <c r="G344" s="50">
        <v>0.18257999999999999</v>
      </c>
      <c r="H344" s="54">
        <v>6.7554599999999994</v>
      </c>
      <c r="I344" s="65">
        <v>1.1000000000000001</v>
      </c>
      <c r="J344" s="54">
        <v>0.67554600000000053</v>
      </c>
      <c r="K344" s="76">
        <v>7.431006</v>
      </c>
    </row>
    <row r="345" spans="1:11">
      <c r="A345" s="47" t="s">
        <v>1071</v>
      </c>
      <c r="B345" s="47" t="s">
        <v>1072</v>
      </c>
      <c r="C345" s="52" t="s">
        <v>1060</v>
      </c>
      <c r="D345" s="55">
        <v>94680</v>
      </c>
      <c r="E345" s="81">
        <v>0.55000000000000004</v>
      </c>
      <c r="F345" s="50">
        <v>0.3624</v>
      </c>
      <c r="G345" s="50">
        <v>0.19932</v>
      </c>
      <c r="H345" s="54">
        <v>7.3748400000000007</v>
      </c>
      <c r="I345" s="65">
        <v>1</v>
      </c>
      <c r="J345" s="54">
        <v>0</v>
      </c>
      <c r="K345" s="76">
        <v>7.3748400000000007</v>
      </c>
    </row>
    <row r="346" spans="1:11">
      <c r="A346" s="47" t="s">
        <v>857</v>
      </c>
      <c r="B346" s="47" t="s">
        <v>858</v>
      </c>
      <c r="C346" s="52" t="s">
        <v>836</v>
      </c>
      <c r="D346" s="55">
        <v>42000</v>
      </c>
      <c r="E346" s="81">
        <v>0.57999999999999996</v>
      </c>
      <c r="F346" s="50">
        <v>0.30980000000000002</v>
      </c>
      <c r="G346" s="50">
        <v>0.17968400000000001</v>
      </c>
      <c r="H346" s="54">
        <v>6.6483080000000001</v>
      </c>
      <c r="I346" s="65">
        <v>1.1000000000000001</v>
      </c>
      <c r="J346" s="54">
        <v>0.66483080000000061</v>
      </c>
      <c r="K346" s="76">
        <v>7.3131388000000008</v>
      </c>
    </row>
    <row r="347" spans="1:11">
      <c r="A347" s="47" t="s">
        <v>849</v>
      </c>
      <c r="B347" s="47" t="s">
        <v>850</v>
      </c>
      <c r="C347" s="52" t="s">
        <v>836</v>
      </c>
      <c r="D347" s="55">
        <v>42000</v>
      </c>
      <c r="E347" s="81">
        <v>0.57999999999999996</v>
      </c>
      <c r="F347" s="50">
        <v>0.30830000000000002</v>
      </c>
      <c r="G347" s="50">
        <v>0.178814</v>
      </c>
      <c r="H347" s="54">
        <v>6.6161179999999993</v>
      </c>
      <c r="I347" s="65">
        <v>1.1000000000000001</v>
      </c>
      <c r="J347" s="54">
        <v>0.66161180000000053</v>
      </c>
      <c r="K347" s="76">
        <v>7.2777297999999986</v>
      </c>
    </row>
    <row r="348" spans="1:11">
      <c r="A348" s="47" t="s">
        <v>853</v>
      </c>
      <c r="B348" s="47" t="s">
        <v>854</v>
      </c>
      <c r="C348" s="52" t="s">
        <v>836</v>
      </c>
      <c r="D348" s="55">
        <v>42000</v>
      </c>
      <c r="E348" s="81">
        <v>0.57999999999999996</v>
      </c>
      <c r="F348" s="50">
        <v>0.30830000000000002</v>
      </c>
      <c r="G348" s="50">
        <v>0.178814</v>
      </c>
      <c r="H348" s="54">
        <v>6.6161179999999993</v>
      </c>
      <c r="I348" s="65">
        <v>1.1000000000000001</v>
      </c>
      <c r="J348" s="54">
        <v>0.66161180000000053</v>
      </c>
      <c r="K348" s="76">
        <v>7.2777297999999986</v>
      </c>
    </row>
    <row r="349" spans="1:11">
      <c r="A349" s="47" t="s">
        <v>851</v>
      </c>
      <c r="B349" s="47" t="s">
        <v>852</v>
      </c>
      <c r="C349" s="52" t="s">
        <v>836</v>
      </c>
      <c r="D349" s="55">
        <v>42000</v>
      </c>
      <c r="E349" s="81">
        <v>0.57999999999999996</v>
      </c>
      <c r="F349" s="50">
        <v>0.30790000000000001</v>
      </c>
      <c r="G349" s="50">
        <v>0.17858199999999999</v>
      </c>
      <c r="H349" s="54">
        <v>6.6075339999999994</v>
      </c>
      <c r="I349" s="65">
        <v>1.1000000000000001</v>
      </c>
      <c r="J349" s="54">
        <v>0.66075340000000049</v>
      </c>
      <c r="K349" s="76">
        <v>7.2682874000000002</v>
      </c>
    </row>
    <row r="350" spans="1:11">
      <c r="A350" s="47" t="s">
        <v>822</v>
      </c>
      <c r="B350" s="47" t="s">
        <v>823</v>
      </c>
      <c r="C350" s="52" t="s">
        <v>811</v>
      </c>
      <c r="D350" s="55">
        <v>69250</v>
      </c>
      <c r="E350" s="81">
        <v>0.6</v>
      </c>
      <c r="F350" s="50">
        <v>0.29049999999999998</v>
      </c>
      <c r="G350" s="50">
        <v>0.17430000000000001</v>
      </c>
      <c r="H350" s="54">
        <v>6.4490999999999996</v>
      </c>
      <c r="I350" s="65">
        <v>1.1000000000000001</v>
      </c>
      <c r="J350" s="54">
        <v>0.64491000000000054</v>
      </c>
      <c r="K350" s="76">
        <v>7.0940099999999999</v>
      </c>
    </row>
    <row r="351" spans="1:11">
      <c r="A351" s="47" t="s">
        <v>834</v>
      </c>
      <c r="B351" s="47" t="s">
        <v>835</v>
      </c>
      <c r="C351" s="52" t="s">
        <v>836</v>
      </c>
      <c r="D351" s="55">
        <v>42000</v>
      </c>
      <c r="E351" s="81">
        <v>0.57999999999999996</v>
      </c>
      <c r="F351" s="50">
        <v>0.3004</v>
      </c>
      <c r="G351" s="50">
        <v>0.174232</v>
      </c>
      <c r="H351" s="54">
        <v>6.4465839999999996</v>
      </c>
      <c r="I351" s="65">
        <v>1.1000000000000001</v>
      </c>
      <c r="J351" s="54">
        <v>0.64465840000000052</v>
      </c>
      <c r="K351" s="76">
        <v>7.0912424000000014</v>
      </c>
    </row>
    <row r="352" spans="1:11">
      <c r="A352" s="47" t="s">
        <v>847</v>
      </c>
      <c r="B352" s="47" t="s">
        <v>848</v>
      </c>
      <c r="C352" s="52" t="s">
        <v>836</v>
      </c>
      <c r="D352" s="55">
        <v>42000</v>
      </c>
      <c r="E352" s="81">
        <v>0.57999999999999996</v>
      </c>
      <c r="F352" s="50">
        <v>0.3004</v>
      </c>
      <c r="G352" s="50">
        <v>0.174232</v>
      </c>
      <c r="H352" s="54">
        <v>6.4465839999999996</v>
      </c>
      <c r="I352" s="65">
        <v>1.1000000000000001</v>
      </c>
      <c r="J352" s="54">
        <v>0.64465840000000052</v>
      </c>
      <c r="K352" s="76">
        <v>7.0912424000000014</v>
      </c>
    </row>
    <row r="353" spans="1:11">
      <c r="A353" s="47" t="s">
        <v>1004</v>
      </c>
      <c r="B353" s="47" t="s">
        <v>1005</v>
      </c>
      <c r="C353" s="52" t="s">
        <v>973</v>
      </c>
      <c r="D353" s="55">
        <v>40308</v>
      </c>
      <c r="E353" s="81">
        <v>0.6</v>
      </c>
      <c r="F353" s="50">
        <v>0.31780000000000003</v>
      </c>
      <c r="G353" s="50">
        <v>0.19067999999999999</v>
      </c>
      <c r="H353" s="54">
        <v>7.0551600000000008</v>
      </c>
      <c r="I353" s="65">
        <v>1</v>
      </c>
      <c r="J353" s="54">
        <v>0</v>
      </c>
      <c r="K353" s="76">
        <v>7.0551600000000008</v>
      </c>
    </row>
    <row r="354" spans="1:11">
      <c r="A354" s="47" t="s">
        <v>905</v>
      </c>
      <c r="B354" s="47" t="s">
        <v>906</v>
      </c>
      <c r="C354" s="52" t="s">
        <v>902</v>
      </c>
      <c r="D354" s="55">
        <v>69455</v>
      </c>
      <c r="E354" s="81">
        <v>0.55000000000000004</v>
      </c>
      <c r="F354" s="50">
        <v>0.28870000000000001</v>
      </c>
      <c r="G354" s="50">
        <v>0.15878500000000001</v>
      </c>
      <c r="H354" s="54">
        <v>5.8750450000000001</v>
      </c>
      <c r="I354" s="65">
        <v>1.2</v>
      </c>
      <c r="J354" s="54">
        <v>1.175009</v>
      </c>
      <c r="K354" s="76">
        <v>7.0500540000000003</v>
      </c>
    </row>
    <row r="355" spans="1:11">
      <c r="A355" s="47" t="s">
        <v>1012</v>
      </c>
      <c r="B355" s="47" t="s">
        <v>1013</v>
      </c>
      <c r="C355" s="52" t="s">
        <v>973</v>
      </c>
      <c r="D355" s="55">
        <v>40308</v>
      </c>
      <c r="E355" s="81">
        <v>0.6</v>
      </c>
      <c r="F355" s="50">
        <v>0.316</v>
      </c>
      <c r="G355" s="50">
        <v>0.18959999999999999</v>
      </c>
      <c r="H355" s="54">
        <v>7.0152000000000001</v>
      </c>
      <c r="I355" s="65">
        <v>1</v>
      </c>
      <c r="J355" s="54">
        <v>0</v>
      </c>
      <c r="K355" s="76">
        <v>7.0152000000000001</v>
      </c>
    </row>
    <row r="356" spans="1:11">
      <c r="A356" s="47" t="s">
        <v>783</v>
      </c>
      <c r="B356" s="47" t="s">
        <v>784</v>
      </c>
      <c r="C356" s="52" t="s">
        <v>770</v>
      </c>
      <c r="D356" s="55">
        <v>64200</v>
      </c>
      <c r="E356" s="81">
        <v>0.57999999999999996</v>
      </c>
      <c r="F356" s="50">
        <v>0.29709999999999998</v>
      </c>
      <c r="G356" s="50">
        <v>0.172318</v>
      </c>
      <c r="H356" s="54">
        <v>6.3757659999999996</v>
      </c>
      <c r="I356" s="65">
        <v>1.1000000000000001</v>
      </c>
      <c r="J356" s="54">
        <v>0.63757660000000049</v>
      </c>
      <c r="K356" s="76">
        <v>7.0133426000000014</v>
      </c>
    </row>
    <row r="357" spans="1:11">
      <c r="A357" s="47" t="s">
        <v>812</v>
      </c>
      <c r="B357" s="47" t="s">
        <v>813</v>
      </c>
      <c r="C357" s="52" t="s">
        <v>811</v>
      </c>
      <c r="D357" s="55">
        <v>69250</v>
      </c>
      <c r="E357" s="81">
        <v>0.6</v>
      </c>
      <c r="F357" s="50">
        <v>0.28710000000000002</v>
      </c>
      <c r="G357" s="50">
        <v>0.17226</v>
      </c>
      <c r="H357" s="54">
        <v>6.3736199999999998</v>
      </c>
      <c r="I357" s="65">
        <v>1.1000000000000001</v>
      </c>
      <c r="J357" s="54">
        <v>0.63736200000000054</v>
      </c>
      <c r="K357" s="76">
        <v>7.0109820000000003</v>
      </c>
    </row>
    <row r="358" spans="1:11">
      <c r="A358" s="47" t="s">
        <v>996</v>
      </c>
      <c r="B358" s="47" t="s">
        <v>997</v>
      </c>
      <c r="C358" s="52" t="s">
        <v>973</v>
      </c>
      <c r="D358" s="55">
        <v>40308</v>
      </c>
      <c r="E358" s="81">
        <v>0.6</v>
      </c>
      <c r="F358" s="50">
        <v>0.31519999999999998</v>
      </c>
      <c r="G358" s="50">
        <v>0.18912000000000001</v>
      </c>
      <c r="H358" s="54">
        <v>6.9974399999999992</v>
      </c>
      <c r="I358" s="65">
        <v>1</v>
      </c>
      <c r="J358" s="54">
        <v>0</v>
      </c>
      <c r="K358" s="76">
        <v>6.9974399999999992</v>
      </c>
    </row>
    <row r="359" spans="1:11">
      <c r="A359" s="47" t="s">
        <v>1073</v>
      </c>
      <c r="B359" s="47" t="s">
        <v>1074</v>
      </c>
      <c r="C359" s="52" t="s">
        <v>1060</v>
      </c>
      <c r="D359" s="55">
        <v>94680</v>
      </c>
      <c r="E359" s="81">
        <v>0.55000000000000004</v>
      </c>
      <c r="F359" s="50">
        <v>0.34360000000000002</v>
      </c>
      <c r="G359" s="50">
        <v>0.18898000000000001</v>
      </c>
      <c r="H359" s="54">
        <v>6.9922600000000017</v>
      </c>
      <c r="I359" s="65">
        <v>1</v>
      </c>
      <c r="J359" s="54">
        <v>0</v>
      </c>
      <c r="K359" s="76">
        <v>6.9922600000000017</v>
      </c>
    </row>
    <row r="360" spans="1:11">
      <c r="A360" s="47" t="s">
        <v>1010</v>
      </c>
      <c r="B360" s="47" t="s">
        <v>1011</v>
      </c>
      <c r="C360" s="52" t="s">
        <v>973</v>
      </c>
      <c r="D360" s="55">
        <v>40308</v>
      </c>
      <c r="E360" s="81">
        <v>0.6</v>
      </c>
      <c r="F360" s="50">
        <v>0.31440000000000001</v>
      </c>
      <c r="G360" s="50">
        <v>0.18864</v>
      </c>
      <c r="H360" s="54">
        <v>6.9796800000000001</v>
      </c>
      <c r="I360" s="65">
        <v>1</v>
      </c>
      <c r="J360" s="54">
        <v>0</v>
      </c>
      <c r="K360" s="76">
        <v>6.9796800000000001</v>
      </c>
    </row>
    <row r="361" spans="1:11">
      <c r="A361" s="47" t="s">
        <v>971</v>
      </c>
      <c r="B361" s="47" t="s">
        <v>972</v>
      </c>
      <c r="C361" s="52" t="s">
        <v>973</v>
      </c>
      <c r="D361" s="55">
        <v>40308</v>
      </c>
      <c r="E361" s="81">
        <v>0.6</v>
      </c>
      <c r="F361" s="50">
        <v>0.313</v>
      </c>
      <c r="G361" s="50">
        <v>0.18779999999999999</v>
      </c>
      <c r="H361" s="54">
        <v>6.9485999999999999</v>
      </c>
      <c r="I361" s="65">
        <v>1</v>
      </c>
      <c r="J361" s="54">
        <v>0</v>
      </c>
      <c r="K361" s="76">
        <v>6.9485999999999999</v>
      </c>
    </row>
    <row r="362" spans="1:11">
      <c r="A362" s="47" t="s">
        <v>988</v>
      </c>
      <c r="B362" s="47" t="s">
        <v>989</v>
      </c>
      <c r="C362" s="52" t="s">
        <v>973</v>
      </c>
      <c r="D362" s="55">
        <v>40308</v>
      </c>
      <c r="E362" s="81">
        <v>0.6</v>
      </c>
      <c r="F362" s="50">
        <v>0.313</v>
      </c>
      <c r="G362" s="50">
        <v>0.18779999999999999</v>
      </c>
      <c r="H362" s="54">
        <v>6.9485999999999999</v>
      </c>
      <c r="I362" s="65">
        <v>1</v>
      </c>
      <c r="J362" s="54">
        <v>0</v>
      </c>
      <c r="K362" s="76">
        <v>6.9485999999999999</v>
      </c>
    </row>
    <row r="363" spans="1:11">
      <c r="A363" s="47" t="s">
        <v>994</v>
      </c>
      <c r="B363" s="47" t="s">
        <v>995</v>
      </c>
      <c r="C363" s="52" t="s">
        <v>973</v>
      </c>
      <c r="D363" s="55">
        <v>40308</v>
      </c>
      <c r="E363" s="81">
        <v>0.6</v>
      </c>
      <c r="F363" s="50">
        <v>0.313</v>
      </c>
      <c r="G363" s="50">
        <v>0.18779999999999999</v>
      </c>
      <c r="H363" s="54">
        <v>6.9485999999999999</v>
      </c>
      <c r="I363" s="65">
        <v>1</v>
      </c>
      <c r="J363" s="54">
        <v>0</v>
      </c>
      <c r="K363" s="76">
        <v>6.9485999999999999</v>
      </c>
    </row>
    <row r="364" spans="1:11">
      <c r="A364" s="47" t="s">
        <v>1058</v>
      </c>
      <c r="B364" s="47" t="s">
        <v>1059</v>
      </c>
      <c r="C364" s="52" t="s">
        <v>1060</v>
      </c>
      <c r="D364" s="55">
        <v>94680</v>
      </c>
      <c r="E364" s="81">
        <v>0.55000000000000004</v>
      </c>
      <c r="F364" s="50">
        <v>0.33700000000000002</v>
      </c>
      <c r="G364" s="50">
        <v>0.18534999999999999</v>
      </c>
      <c r="H364" s="54">
        <v>6.8579500000000007</v>
      </c>
      <c r="I364" s="65">
        <v>1</v>
      </c>
      <c r="J364" s="54">
        <v>0</v>
      </c>
      <c r="K364" s="76">
        <v>6.8579500000000007</v>
      </c>
    </row>
    <row r="365" spans="1:11">
      <c r="A365" s="47" t="s">
        <v>974</v>
      </c>
      <c r="B365" s="47" t="s">
        <v>975</v>
      </c>
      <c r="C365" s="52" t="s">
        <v>973</v>
      </c>
      <c r="D365" s="55">
        <v>40308</v>
      </c>
      <c r="E365" s="81">
        <v>0.6</v>
      </c>
      <c r="F365" s="50">
        <v>0.30709999999999998</v>
      </c>
      <c r="G365" s="50">
        <v>0.18426000000000001</v>
      </c>
      <c r="H365" s="54">
        <v>6.8176199999999989</v>
      </c>
      <c r="I365" s="65">
        <v>1</v>
      </c>
      <c r="J365" s="54">
        <v>0</v>
      </c>
      <c r="K365" s="76">
        <v>6.8176199999999989</v>
      </c>
    </row>
    <row r="366" spans="1:11">
      <c r="A366" s="47" t="s">
        <v>976</v>
      </c>
      <c r="B366" s="47" t="s">
        <v>977</v>
      </c>
      <c r="C366" s="52" t="s">
        <v>973</v>
      </c>
      <c r="D366" s="55">
        <v>40308</v>
      </c>
      <c r="E366" s="81">
        <v>0.6</v>
      </c>
      <c r="F366" s="50">
        <v>0.30709999999999998</v>
      </c>
      <c r="G366" s="50">
        <v>0.18426000000000001</v>
      </c>
      <c r="H366" s="54">
        <v>6.8176199999999989</v>
      </c>
      <c r="I366" s="65">
        <v>1</v>
      </c>
      <c r="J366" s="54">
        <v>0</v>
      </c>
      <c r="K366" s="76">
        <v>6.8176199999999989</v>
      </c>
    </row>
    <row r="367" spans="1:11">
      <c r="A367" s="47" t="s">
        <v>980</v>
      </c>
      <c r="B367" s="47" t="s">
        <v>981</v>
      </c>
      <c r="C367" s="52" t="s">
        <v>973</v>
      </c>
      <c r="D367" s="55">
        <v>40308</v>
      </c>
      <c r="E367" s="81">
        <v>0.6</v>
      </c>
      <c r="F367" s="50">
        <v>0.30709999999999998</v>
      </c>
      <c r="G367" s="50">
        <v>0.18426000000000001</v>
      </c>
      <c r="H367" s="54">
        <v>6.8176199999999989</v>
      </c>
      <c r="I367" s="65">
        <v>1</v>
      </c>
      <c r="J367" s="54">
        <v>0</v>
      </c>
      <c r="K367" s="76">
        <v>6.8176199999999989</v>
      </c>
    </row>
    <row r="368" spans="1:11">
      <c r="A368" s="47" t="s">
        <v>1000</v>
      </c>
      <c r="B368" s="47" t="s">
        <v>1001</v>
      </c>
      <c r="C368" s="52" t="s">
        <v>973</v>
      </c>
      <c r="D368" s="55">
        <v>40308</v>
      </c>
      <c r="E368" s="81">
        <v>0.6</v>
      </c>
      <c r="F368" s="50">
        <v>0.30709999999999998</v>
      </c>
      <c r="G368" s="50">
        <v>0.18426000000000001</v>
      </c>
      <c r="H368" s="54">
        <v>6.8176199999999989</v>
      </c>
      <c r="I368" s="65">
        <v>1</v>
      </c>
      <c r="J368" s="54">
        <v>0</v>
      </c>
      <c r="K368" s="76">
        <v>6.8176199999999989</v>
      </c>
    </row>
    <row r="369" spans="1:11">
      <c r="A369" s="47" t="s">
        <v>828</v>
      </c>
      <c r="B369" s="47" t="s">
        <v>829</v>
      </c>
      <c r="C369" s="52" t="s">
        <v>811</v>
      </c>
      <c r="D369" s="55">
        <v>69250</v>
      </c>
      <c r="E369" s="81">
        <v>0.6</v>
      </c>
      <c r="F369" s="50">
        <v>0.27629999999999999</v>
      </c>
      <c r="G369" s="50">
        <v>0.16578000000000001</v>
      </c>
      <c r="H369" s="54">
        <v>6.1338599999999994</v>
      </c>
      <c r="I369" s="65">
        <v>1.1000000000000001</v>
      </c>
      <c r="J369" s="54">
        <v>0.61338600000000054</v>
      </c>
      <c r="K369" s="76">
        <v>6.7472459999999996</v>
      </c>
    </row>
    <row r="370" spans="1:11">
      <c r="A370" s="47" t="s">
        <v>830</v>
      </c>
      <c r="B370" s="47" t="s">
        <v>831</v>
      </c>
      <c r="C370" s="52" t="s">
        <v>811</v>
      </c>
      <c r="D370" s="55">
        <v>69250</v>
      </c>
      <c r="E370" s="81">
        <v>0.6</v>
      </c>
      <c r="F370" s="50">
        <v>0.27629999999999999</v>
      </c>
      <c r="G370" s="50">
        <v>0.16578000000000001</v>
      </c>
      <c r="H370" s="54">
        <v>6.1338599999999994</v>
      </c>
      <c r="I370" s="65">
        <v>1.1000000000000001</v>
      </c>
      <c r="J370" s="54">
        <v>0.61338600000000054</v>
      </c>
      <c r="K370" s="76">
        <v>6.7472459999999996</v>
      </c>
    </row>
    <row r="371" spans="1:11">
      <c r="A371" s="47" t="s">
        <v>1085</v>
      </c>
      <c r="B371" s="47" t="s">
        <v>1086</v>
      </c>
      <c r="C371" s="52" t="s">
        <v>1060</v>
      </c>
      <c r="D371" s="55">
        <v>94680</v>
      </c>
      <c r="E371" s="81">
        <v>0.55000000000000004</v>
      </c>
      <c r="F371" s="50">
        <v>0.33019999999999999</v>
      </c>
      <c r="G371" s="50">
        <v>0.18160999999999999</v>
      </c>
      <c r="H371" s="54">
        <v>6.7195700000000018</v>
      </c>
      <c r="I371" s="65">
        <v>1</v>
      </c>
      <c r="J371" s="54">
        <v>0</v>
      </c>
      <c r="K371" s="76">
        <v>6.7195700000000018</v>
      </c>
    </row>
    <row r="372" spans="1:11">
      <c r="A372" s="47" t="s">
        <v>1075</v>
      </c>
      <c r="B372" s="47" t="s">
        <v>1076</v>
      </c>
      <c r="C372" s="52" t="s">
        <v>1060</v>
      </c>
      <c r="D372" s="55">
        <v>94680</v>
      </c>
      <c r="E372" s="81">
        <v>0.55000000000000004</v>
      </c>
      <c r="F372" s="50">
        <v>0.32979999999999998</v>
      </c>
      <c r="G372" s="50">
        <v>0.18139</v>
      </c>
      <c r="H372" s="54">
        <v>6.71143</v>
      </c>
      <c r="I372" s="65">
        <v>1</v>
      </c>
      <c r="J372" s="54">
        <v>0</v>
      </c>
      <c r="K372" s="76">
        <v>6.71143</v>
      </c>
    </row>
    <row r="373" spans="1:11">
      <c r="A373" s="47" t="s">
        <v>809</v>
      </c>
      <c r="B373" s="47" t="s">
        <v>810</v>
      </c>
      <c r="C373" s="52" t="s">
        <v>811</v>
      </c>
      <c r="D373" s="55">
        <v>69250</v>
      </c>
      <c r="E373" s="81">
        <v>0.6</v>
      </c>
      <c r="F373" s="50">
        <v>0.27379999999999999</v>
      </c>
      <c r="G373" s="50">
        <v>0.16428000000000001</v>
      </c>
      <c r="H373" s="54">
        <v>6.0783599999999991</v>
      </c>
      <c r="I373" s="65">
        <v>1.1000000000000001</v>
      </c>
      <c r="J373" s="54">
        <v>0.60783600000000049</v>
      </c>
      <c r="K373" s="76">
        <v>6.6861959999999998</v>
      </c>
    </row>
    <row r="374" spans="1:11">
      <c r="A374" s="47" t="s">
        <v>984</v>
      </c>
      <c r="B374" s="47" t="s">
        <v>985</v>
      </c>
      <c r="C374" s="52" t="s">
        <v>973</v>
      </c>
      <c r="D374" s="55">
        <v>40308</v>
      </c>
      <c r="E374" s="81">
        <v>0.6</v>
      </c>
      <c r="F374" s="50">
        <v>0.3004</v>
      </c>
      <c r="G374" s="50">
        <v>0.18024000000000001</v>
      </c>
      <c r="H374" s="54">
        <v>6.6688799999999997</v>
      </c>
      <c r="I374" s="65">
        <v>1</v>
      </c>
      <c r="J374" s="54">
        <v>0</v>
      </c>
      <c r="K374" s="76">
        <v>6.6688799999999997</v>
      </c>
    </row>
    <row r="375" spans="1:11">
      <c r="A375" s="47" t="s">
        <v>1029</v>
      </c>
      <c r="B375" s="47" t="s">
        <v>1030</v>
      </c>
      <c r="C375" s="52" t="s">
        <v>1026</v>
      </c>
      <c r="D375" s="55">
        <v>143625</v>
      </c>
      <c r="E375" s="81">
        <v>0.6</v>
      </c>
      <c r="F375" s="50">
        <v>0.29749999999999999</v>
      </c>
      <c r="G375" s="50">
        <v>0.17849999999999999</v>
      </c>
      <c r="H375" s="54">
        <v>6.6044999999999998</v>
      </c>
      <c r="I375" s="65">
        <v>1</v>
      </c>
      <c r="J375" s="54">
        <v>0</v>
      </c>
      <c r="K375" s="76">
        <v>6.6044999999999998</v>
      </c>
    </row>
    <row r="376" spans="1:11">
      <c r="A376" s="47" t="s">
        <v>764</v>
      </c>
      <c r="B376" s="47" t="s">
        <v>765</v>
      </c>
      <c r="C376" s="52" t="s">
        <v>759</v>
      </c>
      <c r="D376" s="55">
        <v>42400</v>
      </c>
      <c r="E376" s="81">
        <v>0.6</v>
      </c>
      <c r="F376" s="50">
        <v>0.2671</v>
      </c>
      <c r="G376" s="50">
        <v>0.16026000000000001</v>
      </c>
      <c r="H376" s="54">
        <v>5.9296199999999999</v>
      </c>
      <c r="I376" s="65">
        <v>1.1000000000000001</v>
      </c>
      <c r="J376" s="54">
        <v>0.59296200000000054</v>
      </c>
      <c r="K376" s="76">
        <v>6.5225820000000008</v>
      </c>
    </row>
    <row r="377" spans="1:11">
      <c r="A377" s="47" t="s">
        <v>990</v>
      </c>
      <c r="B377" s="47" t="s">
        <v>991</v>
      </c>
      <c r="C377" s="52" t="s">
        <v>973</v>
      </c>
      <c r="D377" s="55">
        <v>40308</v>
      </c>
      <c r="E377" s="81">
        <v>0.6</v>
      </c>
      <c r="F377" s="50">
        <v>0.29270000000000002</v>
      </c>
      <c r="G377" s="50">
        <v>0.17562</v>
      </c>
      <c r="H377" s="54">
        <v>6.4979399999999998</v>
      </c>
      <c r="I377" s="65">
        <v>1</v>
      </c>
      <c r="J377" s="54">
        <v>0</v>
      </c>
      <c r="K377" s="76">
        <v>6.4979399999999998</v>
      </c>
    </row>
    <row r="378" spans="1:11">
      <c r="A378" s="47" t="s">
        <v>826</v>
      </c>
      <c r="B378" s="47" t="s">
        <v>827</v>
      </c>
      <c r="C378" s="52" t="s">
        <v>811</v>
      </c>
      <c r="D378" s="55">
        <v>69250</v>
      </c>
      <c r="E378" s="81">
        <v>0.6</v>
      </c>
      <c r="F378" s="50">
        <v>0.26500000000000001</v>
      </c>
      <c r="G378" s="50">
        <v>0.159</v>
      </c>
      <c r="H378" s="54">
        <v>5.883</v>
      </c>
      <c r="I378" s="65">
        <v>1.1000000000000001</v>
      </c>
      <c r="J378" s="54">
        <v>0.58830000000000049</v>
      </c>
      <c r="K378" s="76">
        <v>6.4713000000000003</v>
      </c>
    </row>
    <row r="379" spans="1:11">
      <c r="A379" s="47" t="s">
        <v>1081</v>
      </c>
      <c r="B379" s="47" t="s">
        <v>1082</v>
      </c>
      <c r="C379" s="52" t="s">
        <v>1060</v>
      </c>
      <c r="D379" s="55">
        <v>94680</v>
      </c>
      <c r="E379" s="81">
        <v>0.55000000000000004</v>
      </c>
      <c r="F379" s="50">
        <v>0.316</v>
      </c>
      <c r="G379" s="50">
        <v>0.17380000000000001</v>
      </c>
      <c r="H379" s="54">
        <v>6.4306000000000001</v>
      </c>
      <c r="I379" s="65">
        <v>1</v>
      </c>
      <c r="J379" s="54">
        <v>0</v>
      </c>
      <c r="K379" s="76">
        <v>6.4306000000000001</v>
      </c>
    </row>
    <row r="380" spans="1:11">
      <c r="A380" s="47" t="s">
        <v>814</v>
      </c>
      <c r="B380" s="47" t="s">
        <v>815</v>
      </c>
      <c r="C380" s="52" t="s">
        <v>811</v>
      </c>
      <c r="D380" s="55">
        <v>69250</v>
      </c>
      <c r="E380" s="81">
        <v>0.6</v>
      </c>
      <c r="F380" s="50">
        <v>0.2596</v>
      </c>
      <c r="G380" s="50">
        <v>0.15576000000000001</v>
      </c>
      <c r="H380" s="54">
        <v>5.7631199999999989</v>
      </c>
      <c r="I380" s="65">
        <v>1.1000000000000001</v>
      </c>
      <c r="J380" s="54">
        <v>0.57631200000000038</v>
      </c>
      <c r="K380" s="76">
        <v>6.3394320000000004</v>
      </c>
    </row>
    <row r="381" spans="1:11">
      <c r="A381" s="47" t="s">
        <v>816</v>
      </c>
      <c r="B381" s="47" t="s">
        <v>817</v>
      </c>
      <c r="C381" s="52" t="s">
        <v>811</v>
      </c>
      <c r="D381" s="55">
        <v>69250</v>
      </c>
      <c r="E381" s="81">
        <v>0.6</v>
      </c>
      <c r="F381" s="50">
        <v>0.25659999999999999</v>
      </c>
      <c r="G381" s="50">
        <v>0.15396000000000001</v>
      </c>
      <c r="H381" s="54">
        <v>5.6965199999999996</v>
      </c>
      <c r="I381" s="65">
        <v>1.1000000000000001</v>
      </c>
      <c r="J381" s="54">
        <v>0.56965200000000049</v>
      </c>
      <c r="K381" s="76">
        <v>6.2661720000000001</v>
      </c>
    </row>
    <row r="382" spans="1:11">
      <c r="A382" s="47" t="s">
        <v>1018</v>
      </c>
      <c r="B382" s="47" t="s">
        <v>1019</v>
      </c>
      <c r="C382" s="52" t="s">
        <v>973</v>
      </c>
      <c r="D382" s="55">
        <v>40308</v>
      </c>
      <c r="E382" s="81">
        <v>0.6</v>
      </c>
      <c r="F382" s="50">
        <v>0.27910000000000001</v>
      </c>
      <c r="G382" s="50">
        <v>0.16746</v>
      </c>
      <c r="H382" s="54">
        <v>6.1960199999999999</v>
      </c>
      <c r="I382" s="65">
        <v>1</v>
      </c>
      <c r="J382" s="54">
        <v>0</v>
      </c>
      <c r="K382" s="76">
        <v>6.1960199999999999</v>
      </c>
    </row>
    <row r="383" spans="1:11">
      <c r="A383" s="47" t="s">
        <v>992</v>
      </c>
      <c r="B383" s="47" t="s">
        <v>993</v>
      </c>
      <c r="C383" s="52" t="s">
        <v>973</v>
      </c>
      <c r="D383" s="55">
        <v>40308</v>
      </c>
      <c r="E383" s="81">
        <v>0.6</v>
      </c>
      <c r="F383" s="50">
        <v>0.27889999999999998</v>
      </c>
      <c r="G383" s="50">
        <v>0.16733999999999999</v>
      </c>
      <c r="H383" s="54">
        <v>6.1915799999999992</v>
      </c>
      <c r="I383" s="65">
        <v>1</v>
      </c>
      <c r="J383" s="54">
        <v>0</v>
      </c>
      <c r="K383" s="76">
        <v>6.1915799999999992</v>
      </c>
    </row>
    <row r="384" spans="1:11">
      <c r="A384" s="47" t="s">
        <v>1065</v>
      </c>
      <c r="B384" s="47" t="s">
        <v>1066</v>
      </c>
      <c r="C384" s="52" t="s">
        <v>1060</v>
      </c>
      <c r="D384" s="55">
        <v>94680</v>
      </c>
      <c r="E384" s="81">
        <v>0.55000000000000004</v>
      </c>
      <c r="F384" s="50">
        <v>0.3</v>
      </c>
      <c r="G384" s="50">
        <v>0.16500000000000001</v>
      </c>
      <c r="H384" s="54">
        <v>6.1050000000000004</v>
      </c>
      <c r="I384" s="65">
        <v>1</v>
      </c>
      <c r="J384" s="54">
        <v>0</v>
      </c>
      <c r="K384" s="76">
        <v>6.1050000000000004</v>
      </c>
    </row>
    <row r="385" spans="1:11">
      <c r="A385" s="47" t="s">
        <v>1014</v>
      </c>
      <c r="B385" s="47" t="s">
        <v>1015</v>
      </c>
      <c r="C385" s="52" t="s">
        <v>973</v>
      </c>
      <c r="D385" s="55">
        <v>40308</v>
      </c>
      <c r="E385" s="81">
        <v>0.6</v>
      </c>
      <c r="F385" s="50">
        <v>0.27289999999999998</v>
      </c>
      <c r="G385" s="50">
        <v>0.16374</v>
      </c>
      <c r="H385" s="54">
        <v>6.0583799999999988</v>
      </c>
      <c r="I385" s="65">
        <v>1</v>
      </c>
      <c r="J385" s="54">
        <v>0</v>
      </c>
      <c r="K385" s="76">
        <v>6.0583799999999988</v>
      </c>
    </row>
    <row r="386" spans="1:11">
      <c r="A386" s="47" t="s">
        <v>1035</v>
      </c>
      <c r="B386" s="47" t="s">
        <v>1036</v>
      </c>
      <c r="C386" s="52" t="s">
        <v>1026</v>
      </c>
      <c r="D386" s="55">
        <v>143625</v>
      </c>
      <c r="E386" s="81">
        <v>0.6</v>
      </c>
      <c r="F386" s="50">
        <v>0.27289999999999998</v>
      </c>
      <c r="G386" s="50">
        <v>0.16374</v>
      </c>
      <c r="H386" s="54">
        <v>6.0583799999999988</v>
      </c>
      <c r="I386" s="65">
        <v>1</v>
      </c>
      <c r="J386" s="54">
        <v>0</v>
      </c>
      <c r="K386" s="76">
        <v>6.0583799999999988</v>
      </c>
    </row>
    <row r="387" spans="1:11">
      <c r="A387" s="47" t="s">
        <v>1087</v>
      </c>
      <c r="B387" s="47" t="s">
        <v>1088</v>
      </c>
      <c r="C387" s="52" t="s">
        <v>1060</v>
      </c>
      <c r="D387" s="55">
        <v>94680</v>
      </c>
      <c r="E387" s="81">
        <v>0.55000000000000004</v>
      </c>
      <c r="F387" s="50">
        <v>0.29139999999999999</v>
      </c>
      <c r="G387" s="50">
        <v>0.16027</v>
      </c>
      <c r="H387" s="54">
        <v>5.9299900000000001</v>
      </c>
      <c r="I387" s="65">
        <v>1</v>
      </c>
      <c r="J387" s="54">
        <v>0</v>
      </c>
      <c r="K387" s="76">
        <v>5.9299900000000001</v>
      </c>
    </row>
    <row r="388" spans="1:11">
      <c r="A388" s="47" t="s">
        <v>1089</v>
      </c>
      <c r="B388" s="47" t="s">
        <v>1090</v>
      </c>
      <c r="C388" s="52" t="s">
        <v>1060</v>
      </c>
      <c r="D388" s="55">
        <v>94680</v>
      </c>
      <c r="E388" s="81">
        <v>0.55000000000000004</v>
      </c>
      <c r="F388" s="50">
        <v>0.29039999999999999</v>
      </c>
      <c r="G388" s="50">
        <v>0.15972</v>
      </c>
      <c r="H388" s="54">
        <v>5.9096399999999996</v>
      </c>
      <c r="I388" s="65">
        <v>1</v>
      </c>
      <c r="J388" s="54">
        <v>0</v>
      </c>
      <c r="K388" s="76">
        <v>5.9096399999999996</v>
      </c>
    </row>
    <row r="389" spans="1:11">
      <c r="A389" s="47" t="s">
        <v>1054</v>
      </c>
      <c r="B389" s="47" t="s">
        <v>1055</v>
      </c>
      <c r="C389" s="52" t="s">
        <v>1043</v>
      </c>
      <c r="D389" s="55">
        <v>59750</v>
      </c>
      <c r="E389" s="81">
        <v>0.6</v>
      </c>
      <c r="F389" s="50">
        <v>0.26140000000000002</v>
      </c>
      <c r="G389" s="50">
        <v>0.15684000000000001</v>
      </c>
      <c r="H389" s="54">
        <v>5.8030799999999996</v>
      </c>
      <c r="I389" s="65">
        <v>1</v>
      </c>
      <c r="J389" s="54">
        <v>0</v>
      </c>
      <c r="K389" s="76">
        <v>5.8030799999999996</v>
      </c>
    </row>
    <row r="390" spans="1:11">
      <c r="A390" s="47" t="s">
        <v>1020</v>
      </c>
      <c r="B390" s="47" t="s">
        <v>1021</v>
      </c>
      <c r="C390" s="52" t="s">
        <v>973</v>
      </c>
      <c r="D390" s="55">
        <v>40308</v>
      </c>
      <c r="E390" s="81">
        <v>0.6</v>
      </c>
      <c r="F390" s="50">
        <v>0.25659999999999999</v>
      </c>
      <c r="G390" s="50">
        <v>0.15396000000000001</v>
      </c>
      <c r="H390" s="54">
        <v>5.6965199999999996</v>
      </c>
      <c r="I390" s="65">
        <v>1</v>
      </c>
      <c r="J390" s="54">
        <v>0</v>
      </c>
      <c r="K390" s="76">
        <v>5.6965199999999996</v>
      </c>
    </row>
    <row r="391" spans="1:11">
      <c r="A391" s="47" t="s">
        <v>1031</v>
      </c>
      <c r="B391" s="47" t="s">
        <v>1032</v>
      </c>
      <c r="C391" s="52" t="s">
        <v>1026</v>
      </c>
      <c r="D391" s="55">
        <v>143625</v>
      </c>
      <c r="E391" s="81">
        <v>0.6</v>
      </c>
      <c r="F391" s="50">
        <v>0.246</v>
      </c>
      <c r="G391" s="50">
        <v>0.14760000000000001</v>
      </c>
      <c r="H391" s="54">
        <v>5.4612000000000007</v>
      </c>
      <c r="I391" s="65">
        <v>1</v>
      </c>
      <c r="J391" s="54">
        <v>0</v>
      </c>
      <c r="K391" s="76">
        <v>5.4612000000000007</v>
      </c>
    </row>
    <row r="392" spans="1:11">
      <c r="A392" s="47" t="s">
        <v>1016</v>
      </c>
      <c r="B392" s="47" t="s">
        <v>1017</v>
      </c>
      <c r="C392" s="52" t="s">
        <v>973</v>
      </c>
      <c r="D392" s="55">
        <v>40308</v>
      </c>
      <c r="E392" s="81">
        <v>0.6</v>
      </c>
      <c r="F392" s="50">
        <v>0.2455</v>
      </c>
      <c r="G392" s="50">
        <v>0.14729999999999999</v>
      </c>
      <c r="H392" s="54">
        <v>5.4500999999999991</v>
      </c>
      <c r="I392" s="65">
        <v>1</v>
      </c>
      <c r="J392" s="54">
        <v>0</v>
      </c>
      <c r="K392" s="76">
        <v>5.4500999999999991</v>
      </c>
    </row>
    <row r="393" spans="1:11">
      <c r="A393" s="47" t="s">
        <v>1063</v>
      </c>
      <c r="B393" s="47" t="s">
        <v>1064</v>
      </c>
      <c r="C393" s="52" t="s">
        <v>1060</v>
      </c>
      <c r="D393" s="55">
        <v>94680</v>
      </c>
      <c r="E393" s="81">
        <v>0.55000000000000004</v>
      </c>
      <c r="F393" s="50">
        <v>0.26640000000000003</v>
      </c>
      <c r="G393" s="50">
        <v>0.14652000000000001</v>
      </c>
      <c r="H393" s="54">
        <v>5.4212400000000018</v>
      </c>
      <c r="I393" s="65">
        <v>1</v>
      </c>
      <c r="J393" s="54">
        <v>0</v>
      </c>
      <c r="K393" s="76">
        <v>5.4212400000000018</v>
      </c>
    </row>
    <row r="394" spans="1:11">
      <c r="A394" s="47" t="s">
        <v>1039</v>
      </c>
      <c r="B394" s="47" t="s">
        <v>1040</v>
      </c>
      <c r="C394" s="52" t="s">
        <v>1026</v>
      </c>
      <c r="D394" s="55">
        <v>143625</v>
      </c>
      <c r="E394" s="81">
        <v>0.6</v>
      </c>
      <c r="F394" s="50">
        <v>0.2427</v>
      </c>
      <c r="G394" s="50">
        <v>0.14562</v>
      </c>
      <c r="H394" s="54">
        <v>5.3879400000000004</v>
      </c>
      <c r="I394" s="65">
        <v>1</v>
      </c>
      <c r="J394" s="54">
        <v>0</v>
      </c>
      <c r="K394" s="76">
        <v>5.3879400000000004</v>
      </c>
    </row>
    <row r="395" spans="1:11">
      <c r="A395" s="47" t="s">
        <v>1093</v>
      </c>
      <c r="B395" s="47" t="s">
        <v>1094</v>
      </c>
      <c r="C395" s="52" t="s">
        <v>1060</v>
      </c>
      <c r="D395" s="55">
        <v>94680</v>
      </c>
      <c r="E395" s="81">
        <v>0.55000000000000004</v>
      </c>
      <c r="F395" s="50">
        <v>0.26140000000000002</v>
      </c>
      <c r="G395" s="50">
        <v>0.14377000000000001</v>
      </c>
      <c r="H395" s="54">
        <v>5.3194900000000009</v>
      </c>
      <c r="I395" s="65">
        <v>1</v>
      </c>
      <c r="J395" s="54">
        <v>0</v>
      </c>
      <c r="K395" s="76">
        <v>5.3194900000000009</v>
      </c>
    </row>
    <row r="396" spans="1:11">
      <c r="A396" s="47" t="s">
        <v>1097</v>
      </c>
      <c r="B396" s="47" t="s">
        <v>1098</v>
      </c>
      <c r="C396" s="52" t="s">
        <v>1060</v>
      </c>
      <c r="D396" s="55">
        <v>94680</v>
      </c>
      <c r="E396" s="81">
        <v>0.55000000000000004</v>
      </c>
      <c r="F396" s="50">
        <v>0.26140000000000002</v>
      </c>
      <c r="G396" s="50">
        <v>0.14377000000000001</v>
      </c>
      <c r="H396" s="54">
        <v>5.3194900000000009</v>
      </c>
      <c r="I396" s="65">
        <v>1</v>
      </c>
      <c r="J396" s="54">
        <v>0</v>
      </c>
      <c r="K396" s="76">
        <v>5.3194900000000009</v>
      </c>
    </row>
    <row r="397" spans="1:11">
      <c r="A397" s="47" t="s">
        <v>1037</v>
      </c>
      <c r="B397" s="47" t="s">
        <v>1038</v>
      </c>
      <c r="C397" s="52" t="s">
        <v>1026</v>
      </c>
      <c r="D397" s="55">
        <v>143625</v>
      </c>
      <c r="E397" s="81">
        <v>0.6</v>
      </c>
      <c r="F397" s="50">
        <v>0.2374</v>
      </c>
      <c r="G397" s="50">
        <v>0.14244000000000001</v>
      </c>
      <c r="H397" s="54">
        <v>5.2702799999999996</v>
      </c>
      <c r="I397" s="65">
        <v>1</v>
      </c>
      <c r="J397" s="54">
        <v>0</v>
      </c>
      <c r="K397" s="76">
        <v>5.2702799999999996</v>
      </c>
    </row>
    <row r="398" spans="1:11">
      <c r="A398" s="47" t="s">
        <v>1095</v>
      </c>
      <c r="B398" s="47" t="s">
        <v>1096</v>
      </c>
      <c r="C398" s="52" t="s">
        <v>1060</v>
      </c>
      <c r="D398" s="55">
        <v>94680</v>
      </c>
      <c r="E398" s="81">
        <v>0.55000000000000004</v>
      </c>
      <c r="F398" s="50">
        <v>0.25829999999999997</v>
      </c>
      <c r="G398" s="50">
        <v>0.142065</v>
      </c>
      <c r="H398" s="54">
        <v>5.2564050000000009</v>
      </c>
      <c r="I398" s="65">
        <v>1</v>
      </c>
      <c r="J398" s="54">
        <v>0</v>
      </c>
      <c r="K398" s="76">
        <v>5.2564050000000009</v>
      </c>
    </row>
    <row r="399" spans="1:11">
      <c r="A399" s="47" t="s">
        <v>1027</v>
      </c>
      <c r="B399" s="47" t="s">
        <v>1028</v>
      </c>
      <c r="C399" s="52" t="s">
        <v>1026</v>
      </c>
      <c r="D399" s="55">
        <v>143625</v>
      </c>
      <c r="E399" s="81">
        <v>0.6</v>
      </c>
      <c r="F399" s="50">
        <v>0.23469999999999999</v>
      </c>
      <c r="G399" s="50">
        <v>0.14082</v>
      </c>
      <c r="H399" s="54">
        <v>5.2103400000000004</v>
      </c>
      <c r="I399" s="65">
        <v>1</v>
      </c>
      <c r="J399" s="54">
        <v>0</v>
      </c>
      <c r="K399" s="76">
        <v>5.2103400000000004</v>
      </c>
    </row>
    <row r="400" spans="1:11">
      <c r="A400" s="47" t="s">
        <v>1067</v>
      </c>
      <c r="B400" s="47" t="s">
        <v>1068</v>
      </c>
      <c r="C400" s="52" t="s">
        <v>1060</v>
      </c>
      <c r="D400" s="55">
        <v>94680</v>
      </c>
      <c r="E400" s="81">
        <v>0.55000000000000004</v>
      </c>
      <c r="F400" s="50">
        <v>0.25069999999999998</v>
      </c>
      <c r="G400" s="50">
        <v>0.13788500000000001</v>
      </c>
      <c r="H400" s="54">
        <v>5.1017450000000002</v>
      </c>
      <c r="I400" s="65">
        <v>1</v>
      </c>
      <c r="J400" s="54">
        <v>0</v>
      </c>
      <c r="K400" s="76">
        <v>5.1017450000000002</v>
      </c>
    </row>
    <row r="401" spans="1:11">
      <c r="A401" s="47" t="s">
        <v>1056</v>
      </c>
      <c r="B401" s="47" t="s">
        <v>1057</v>
      </c>
      <c r="C401" s="52" t="s">
        <v>1043</v>
      </c>
      <c r="D401" s="55">
        <v>59750</v>
      </c>
      <c r="E401" s="81">
        <v>0.6</v>
      </c>
      <c r="F401" s="50">
        <v>0.22639999999999999</v>
      </c>
      <c r="G401" s="50">
        <v>0.13583999999999999</v>
      </c>
      <c r="H401" s="54">
        <v>5.0260800000000003</v>
      </c>
      <c r="I401" s="65">
        <v>1</v>
      </c>
      <c r="J401" s="54">
        <v>0</v>
      </c>
      <c r="K401" s="76">
        <v>5.0260800000000003</v>
      </c>
    </row>
    <row r="402" spans="1:11">
      <c r="A402" s="47" t="s">
        <v>1083</v>
      </c>
      <c r="B402" s="47" t="s">
        <v>1084</v>
      </c>
      <c r="C402" s="52" t="s">
        <v>1060</v>
      </c>
      <c r="D402" s="55">
        <v>94680</v>
      </c>
      <c r="E402" s="81">
        <v>0.55000000000000004</v>
      </c>
      <c r="F402" s="50">
        <v>0.24579999999999999</v>
      </c>
      <c r="G402" s="50">
        <v>0.13519</v>
      </c>
      <c r="H402" s="54">
        <v>5.0020300000000013</v>
      </c>
      <c r="I402" s="65">
        <v>1</v>
      </c>
      <c r="J402" s="54">
        <v>0</v>
      </c>
      <c r="K402" s="76">
        <v>5.0020300000000013</v>
      </c>
    </row>
    <row r="403" spans="1:11">
      <c r="A403" s="47" t="s">
        <v>1048</v>
      </c>
      <c r="B403" s="47" t="s">
        <v>1049</v>
      </c>
      <c r="C403" s="52" t="s">
        <v>1043</v>
      </c>
      <c r="D403" s="55">
        <v>59750</v>
      </c>
      <c r="E403" s="81">
        <v>0.6</v>
      </c>
      <c r="F403" s="50">
        <v>0.22520000000000001</v>
      </c>
      <c r="G403" s="50">
        <v>0.13511999999999999</v>
      </c>
      <c r="H403" s="54">
        <v>4.9994399999999999</v>
      </c>
      <c r="I403" s="65">
        <v>1</v>
      </c>
      <c r="J403" s="54">
        <v>0</v>
      </c>
      <c r="K403" s="76">
        <v>4.9994399999999999</v>
      </c>
    </row>
    <row r="404" spans="1:11">
      <c r="A404" s="47" t="s">
        <v>1052</v>
      </c>
      <c r="B404" s="47" t="s">
        <v>1053</v>
      </c>
      <c r="C404" s="52" t="s">
        <v>1043</v>
      </c>
      <c r="D404" s="55">
        <v>59750</v>
      </c>
      <c r="E404" s="81">
        <v>0.6</v>
      </c>
      <c r="F404" s="50">
        <v>0.22520000000000001</v>
      </c>
      <c r="G404" s="50">
        <v>0.13511999999999999</v>
      </c>
      <c r="H404" s="54">
        <v>4.9994399999999999</v>
      </c>
      <c r="I404" s="65">
        <v>1</v>
      </c>
      <c r="J404" s="54">
        <v>0</v>
      </c>
      <c r="K404" s="76">
        <v>4.9994399999999999</v>
      </c>
    </row>
    <row r="405" spans="1:11">
      <c r="A405" s="47" t="s">
        <v>1050</v>
      </c>
      <c r="B405" s="47" t="s">
        <v>1051</v>
      </c>
      <c r="C405" s="52" t="s">
        <v>1043</v>
      </c>
      <c r="D405" s="55">
        <v>59750</v>
      </c>
      <c r="E405" s="81">
        <v>0.6</v>
      </c>
      <c r="F405" s="50">
        <v>0.224</v>
      </c>
      <c r="G405" s="50">
        <v>0.13439999999999999</v>
      </c>
      <c r="H405" s="54">
        <v>4.9727999999999994</v>
      </c>
      <c r="I405" s="65">
        <v>1</v>
      </c>
      <c r="J405" s="54">
        <v>0</v>
      </c>
      <c r="K405" s="76">
        <v>4.9727999999999994</v>
      </c>
    </row>
    <row r="406" spans="1:11">
      <c r="A406" s="47" t="s">
        <v>1041</v>
      </c>
      <c r="B406" s="47" t="s">
        <v>1042</v>
      </c>
      <c r="C406" s="52" t="s">
        <v>1043</v>
      </c>
      <c r="D406" s="55">
        <v>59750</v>
      </c>
      <c r="E406" s="81">
        <v>0.6</v>
      </c>
      <c r="F406" s="50">
        <v>0.22239999999999999</v>
      </c>
      <c r="G406" s="50">
        <v>0.13344</v>
      </c>
      <c r="H406" s="54">
        <v>4.9372799999999986</v>
      </c>
      <c r="I406" s="65">
        <v>1</v>
      </c>
      <c r="J406" s="54">
        <v>0</v>
      </c>
      <c r="K406" s="76">
        <v>4.9372799999999986</v>
      </c>
    </row>
    <row r="407" spans="1:11">
      <c r="A407" s="47" t="s">
        <v>1044</v>
      </c>
      <c r="B407" s="47" t="s">
        <v>1045</v>
      </c>
      <c r="C407" s="52" t="s">
        <v>1043</v>
      </c>
      <c r="D407" s="55">
        <v>59750</v>
      </c>
      <c r="E407" s="81">
        <v>0.6</v>
      </c>
      <c r="F407" s="50">
        <v>0.22239999999999999</v>
      </c>
      <c r="G407" s="50">
        <v>0.13344</v>
      </c>
      <c r="H407" s="54">
        <v>4.9372799999999986</v>
      </c>
      <c r="I407" s="65">
        <v>1</v>
      </c>
      <c r="J407" s="54">
        <v>0</v>
      </c>
      <c r="K407" s="76">
        <v>4.9372799999999986</v>
      </c>
    </row>
    <row r="408" spans="1:11">
      <c r="A408" s="47" t="s">
        <v>1046</v>
      </c>
      <c r="B408" s="47" t="s">
        <v>1047</v>
      </c>
      <c r="C408" s="52" t="s">
        <v>1043</v>
      </c>
      <c r="D408" s="55">
        <v>59750</v>
      </c>
      <c r="E408" s="81">
        <v>0.6</v>
      </c>
      <c r="F408" s="50">
        <v>0.22120000000000001</v>
      </c>
      <c r="G408" s="50">
        <v>0.13272</v>
      </c>
      <c r="H408" s="54">
        <v>4.9106399999999999</v>
      </c>
      <c r="I408" s="65">
        <v>1</v>
      </c>
      <c r="J408" s="54">
        <v>0</v>
      </c>
      <c r="K408" s="76">
        <v>4.9106399999999999</v>
      </c>
    </row>
    <row r="409" spans="1:11">
      <c r="A409" s="47" t="s">
        <v>1024</v>
      </c>
      <c r="B409" s="47" t="s">
        <v>1025</v>
      </c>
      <c r="C409" s="52" t="s">
        <v>1026</v>
      </c>
      <c r="D409" s="55">
        <v>143625</v>
      </c>
      <c r="E409" s="81">
        <v>0.6</v>
      </c>
      <c r="F409" s="50">
        <v>0.21970000000000001</v>
      </c>
      <c r="G409" s="50">
        <v>0.13181999999999999</v>
      </c>
      <c r="H409" s="54">
        <v>4.8773399999999993</v>
      </c>
      <c r="I409" s="65">
        <v>1</v>
      </c>
      <c r="J409" s="54">
        <v>0</v>
      </c>
      <c r="K409" s="76">
        <v>4.8773399999999993</v>
      </c>
    </row>
    <row r="410" spans="1:11">
      <c r="A410" s="47" t="s">
        <v>1033</v>
      </c>
      <c r="B410" s="47" t="s">
        <v>1034</v>
      </c>
      <c r="C410" s="52" t="s">
        <v>1026</v>
      </c>
      <c r="D410" s="55">
        <v>143625</v>
      </c>
      <c r="E410" s="81">
        <v>0.6</v>
      </c>
      <c r="F410" s="50">
        <v>0.21970000000000001</v>
      </c>
      <c r="G410" s="50">
        <v>0.13181999999999999</v>
      </c>
      <c r="H410" s="54">
        <v>4.8773399999999993</v>
      </c>
      <c r="I410" s="65">
        <v>1</v>
      </c>
      <c r="J410" s="54">
        <v>0</v>
      </c>
      <c r="K410" s="76">
        <v>4.8773399999999993</v>
      </c>
    </row>
    <row r="411" spans="1:11">
      <c r="A411" s="47" t="s">
        <v>1077</v>
      </c>
      <c r="B411" s="47" t="s">
        <v>1078</v>
      </c>
      <c r="C411" s="52" t="s">
        <v>1060</v>
      </c>
      <c r="D411" s="55">
        <v>94680</v>
      </c>
      <c r="E411" s="81">
        <v>0.55000000000000004</v>
      </c>
      <c r="F411" s="50">
        <v>0.23380000000000001</v>
      </c>
      <c r="G411" s="50">
        <v>0.12859000000000001</v>
      </c>
      <c r="H411" s="54">
        <v>4.7578300000000002</v>
      </c>
      <c r="I411" s="65">
        <v>1</v>
      </c>
      <c r="J411" s="54">
        <v>0</v>
      </c>
      <c r="K411" s="76">
        <v>4.7578300000000002</v>
      </c>
    </row>
    <row r="412" spans="1:11">
      <c r="A412" s="47" t="s">
        <v>1079</v>
      </c>
      <c r="B412" s="47" t="s">
        <v>1080</v>
      </c>
      <c r="C412" s="52" t="s">
        <v>1060</v>
      </c>
      <c r="D412" s="55">
        <v>94680</v>
      </c>
      <c r="E412" s="81">
        <v>0.55000000000000004</v>
      </c>
      <c r="F412" s="50">
        <v>0.23150000000000001</v>
      </c>
      <c r="G412" s="50">
        <v>0.12732499999999999</v>
      </c>
      <c r="H412" s="54">
        <v>4.7110249999999994</v>
      </c>
      <c r="I412" s="65">
        <v>1</v>
      </c>
      <c r="J412" s="54">
        <v>0</v>
      </c>
      <c r="K412" s="76">
        <v>4.7110249999999994</v>
      </c>
    </row>
    <row r="413" spans="1:11">
      <c r="A413" s="47" t="s">
        <v>1107</v>
      </c>
      <c r="B413" s="47" t="s">
        <v>1108</v>
      </c>
      <c r="C413" s="52" t="s">
        <v>1060</v>
      </c>
      <c r="D413" s="55">
        <v>94680</v>
      </c>
      <c r="E413" s="81">
        <v>0.55000000000000004</v>
      </c>
      <c r="F413" s="50">
        <v>0.22969999999999999</v>
      </c>
      <c r="G413" s="50">
        <v>0.126335</v>
      </c>
      <c r="H413" s="54">
        <v>4.6743950000000014</v>
      </c>
      <c r="I413" s="65">
        <v>1</v>
      </c>
      <c r="J413" s="54">
        <v>0</v>
      </c>
      <c r="K413" s="76">
        <v>4.6743950000000014</v>
      </c>
    </row>
    <row r="414" spans="1:11">
      <c r="A414" s="47" t="s">
        <v>1105</v>
      </c>
      <c r="B414" s="47" t="s">
        <v>1106</v>
      </c>
      <c r="C414" s="52" t="s">
        <v>1060</v>
      </c>
      <c r="D414" s="55">
        <v>94680</v>
      </c>
      <c r="E414" s="81">
        <v>0.55000000000000004</v>
      </c>
      <c r="F414" s="50">
        <v>0.2054</v>
      </c>
      <c r="G414" s="50">
        <v>0.11297</v>
      </c>
      <c r="H414" s="54">
        <v>4.1798900000000003</v>
      </c>
      <c r="I414" s="65">
        <v>1</v>
      </c>
      <c r="J414" s="54">
        <v>0</v>
      </c>
      <c r="K414" s="76">
        <v>4.1798900000000003</v>
      </c>
    </row>
    <row r="415" spans="1:11">
      <c r="A415" s="47" t="s">
        <v>1103</v>
      </c>
      <c r="B415" s="47" t="s">
        <v>1104</v>
      </c>
      <c r="C415" s="52" t="s">
        <v>1060</v>
      </c>
      <c r="D415" s="55">
        <v>94680</v>
      </c>
      <c r="E415" s="81">
        <v>0.55000000000000004</v>
      </c>
      <c r="F415" s="50">
        <v>0.1961</v>
      </c>
      <c r="G415" s="50">
        <v>0.10785500000000001</v>
      </c>
      <c r="H415" s="54">
        <v>3.9906350000000002</v>
      </c>
      <c r="I415" s="65">
        <v>1</v>
      </c>
      <c r="J415" s="54">
        <v>0</v>
      </c>
      <c r="K415" s="76">
        <v>3.9906350000000002</v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"/>
  <sheetViews>
    <sheetView workbookViewId="0"/>
  </sheetViews>
  <sheetFormatPr defaultRowHeight="14.25"/>
  <cols>
    <col min="1" max="1" width="12" customWidth="1"/>
    <col min="2" max="2" width="45" customWidth="1"/>
    <col min="3" max="3" width="40" customWidth="1"/>
    <col min="4" max="6" width="12" customWidth="1"/>
    <col min="7" max="7" width="14" customWidth="1"/>
  </cols>
  <sheetData>
    <row r="1" spans="1:7" ht="17.649999999999999">
      <c r="A1" s="84" t="s">
        <v>1238</v>
      </c>
      <c r="B1" s="85"/>
      <c r="C1" s="85"/>
      <c r="D1" s="85"/>
      <c r="E1" s="85"/>
      <c r="F1" s="85"/>
      <c r="G1" s="85"/>
    </row>
    <row r="2" spans="1:7">
      <c r="A2" s="86" t="s">
        <v>1239</v>
      </c>
      <c r="B2" s="85"/>
      <c r="C2" s="85"/>
      <c r="D2" s="85"/>
      <c r="E2" s="85"/>
      <c r="F2" s="85"/>
      <c r="G2" s="85"/>
    </row>
    <row r="4" spans="1:7">
      <c r="A4" s="51" t="s">
        <v>1240</v>
      </c>
    </row>
    <row r="5" spans="1:7" ht="24">
      <c r="A5" s="71" t="s">
        <v>1241</v>
      </c>
      <c r="B5" s="71" t="s">
        <v>1242</v>
      </c>
      <c r="C5" s="71" t="s">
        <v>1243</v>
      </c>
      <c r="D5" s="71" t="s">
        <v>1244</v>
      </c>
      <c r="E5" s="71" t="s">
        <v>1245</v>
      </c>
      <c r="F5" s="71" t="s">
        <v>1246</v>
      </c>
      <c r="G5" s="71" t="s">
        <v>1247</v>
      </c>
    </row>
    <row r="6" spans="1:7">
      <c r="A6" s="72" t="s">
        <v>1248</v>
      </c>
      <c r="B6" s="47"/>
      <c r="C6" s="52" t="s">
        <v>1249</v>
      </c>
      <c r="D6" s="73">
        <v>2105992</v>
      </c>
      <c r="E6" s="74">
        <v>6.1488763659477093E-2</v>
      </c>
      <c r="F6" s="74">
        <v>0.36150214285714283</v>
      </c>
      <c r="G6" s="75">
        <v>0.90375535714285715</v>
      </c>
    </row>
    <row r="7" spans="1:7">
      <c r="A7" s="72" t="s">
        <v>1250</v>
      </c>
      <c r="B7" s="47"/>
      <c r="C7" s="52" t="s">
        <v>1251</v>
      </c>
      <c r="D7" s="73">
        <v>3644019</v>
      </c>
      <c r="E7" s="74">
        <v>0.10639462213609741</v>
      </c>
      <c r="F7" s="74">
        <v>0.31929984944096063</v>
      </c>
      <c r="G7" s="75">
        <v>0.63859969888192125</v>
      </c>
    </row>
    <row r="8" spans="1:7">
      <c r="A8" s="65" t="s">
        <v>1252</v>
      </c>
      <c r="B8" s="47"/>
      <c r="C8" s="52" t="s">
        <v>1253</v>
      </c>
      <c r="D8" s="73">
        <v>7231003</v>
      </c>
      <c r="E8" s="74">
        <v>0.21112399025635889</v>
      </c>
      <c r="F8" s="74">
        <v>0.29416604716385819</v>
      </c>
      <c r="G8" s="75">
        <v>0.52949888489494479</v>
      </c>
    </row>
    <row r="9" spans="1:7">
      <c r="A9" s="65" t="s">
        <v>1254</v>
      </c>
      <c r="B9" s="47"/>
      <c r="C9" s="52" t="s">
        <v>1255</v>
      </c>
      <c r="D9" s="73">
        <v>4683997</v>
      </c>
      <c r="E9" s="74">
        <v>0.13675891670751819</v>
      </c>
      <c r="F9" s="74">
        <v>0.28690216420719311</v>
      </c>
      <c r="G9" s="75">
        <v>0.43035324631078969</v>
      </c>
    </row>
    <row r="10" spans="1:7">
      <c r="A10" s="65" t="s">
        <v>1256</v>
      </c>
      <c r="B10" s="47"/>
      <c r="C10" s="52" t="s">
        <v>1257</v>
      </c>
      <c r="D10" s="73">
        <v>2641002</v>
      </c>
      <c r="E10" s="74">
        <v>7.7109479904105188E-2</v>
      </c>
      <c r="F10" s="74">
        <v>0.29475371593054461</v>
      </c>
      <c r="G10" s="75">
        <v>0.3831798307097079</v>
      </c>
    </row>
    <row r="11" spans="1:7">
      <c r="A11" s="65" t="s">
        <v>1258</v>
      </c>
      <c r="B11" s="47"/>
      <c r="C11" s="52" t="s">
        <v>1259</v>
      </c>
      <c r="D11" s="73">
        <v>3982004</v>
      </c>
      <c r="E11" s="74">
        <v>0.1162627886749296</v>
      </c>
      <c r="F11" s="74">
        <v>0.33367199301155898</v>
      </c>
      <c r="G11" s="75">
        <v>0.40040639161387082</v>
      </c>
    </row>
    <row r="12" spans="1:7">
      <c r="A12" s="65" t="s">
        <v>1260</v>
      </c>
      <c r="B12" s="47"/>
      <c r="C12" s="52" t="s">
        <v>1261</v>
      </c>
      <c r="D12" s="73">
        <v>4920005</v>
      </c>
      <c r="E12" s="74">
        <v>0.14364965519738229</v>
      </c>
      <c r="F12" s="74">
        <v>0.18141620521930371</v>
      </c>
      <c r="G12" s="75">
        <v>0.19955782574123401</v>
      </c>
    </row>
    <row r="13" spans="1:7">
      <c r="A13" s="65" t="s">
        <v>1262</v>
      </c>
      <c r="B13" s="47"/>
      <c r="C13" s="52" t="s">
        <v>1263</v>
      </c>
      <c r="D13" s="73">
        <v>5042008</v>
      </c>
      <c r="E13" s="74">
        <v>0.1472117834641313</v>
      </c>
      <c r="F13" s="74">
        <v>0.1370063173719677</v>
      </c>
      <c r="G13" s="75">
        <v>0.1370063173719677</v>
      </c>
    </row>
    <row r="16" spans="1:7">
      <c r="A16" s="51" t="s">
        <v>1264</v>
      </c>
    </row>
    <row r="17" spans="1:7">
      <c r="A17" s="91" t="s">
        <v>1265</v>
      </c>
      <c r="B17" s="85"/>
      <c r="C17" s="85"/>
      <c r="D17" s="85"/>
      <c r="E17" s="85"/>
      <c r="F17" s="85"/>
      <c r="G17" s="85"/>
    </row>
    <row r="18" spans="1:7">
      <c r="A18" s="91" t="s">
        <v>1266</v>
      </c>
      <c r="B18" s="85"/>
      <c r="C18" s="85"/>
      <c r="D18" s="85"/>
      <c r="E18" s="85"/>
      <c r="F18" s="85"/>
      <c r="G18" s="85"/>
    </row>
    <row r="19" spans="1:7">
      <c r="A19" s="91" t="s">
        <v>1267</v>
      </c>
      <c r="B19" s="85"/>
      <c r="C19" s="85"/>
      <c r="D19" s="85"/>
      <c r="E19" s="85"/>
      <c r="F19" s="85"/>
      <c r="G19" s="85"/>
    </row>
    <row r="20" spans="1:7">
      <c r="A20" s="91" t="s">
        <v>1268</v>
      </c>
      <c r="B20" s="85"/>
      <c r="C20" s="85"/>
      <c r="D20" s="85"/>
      <c r="E20" s="85"/>
      <c r="F20" s="85"/>
      <c r="G20" s="85"/>
    </row>
    <row r="21" spans="1:7">
      <c r="A21" s="91" t="s">
        <v>1269</v>
      </c>
      <c r="B21" s="85"/>
      <c r="C21" s="85"/>
      <c r="D21" s="85"/>
      <c r="E21" s="85"/>
      <c r="F21" s="85"/>
      <c r="G21" s="85"/>
    </row>
    <row r="22" spans="1:7">
      <c r="A22" s="91" t="s">
        <v>1270</v>
      </c>
      <c r="B22" s="85"/>
      <c r="C22" s="85"/>
      <c r="D22" s="85"/>
      <c r="E22" s="85"/>
      <c r="F22" s="85"/>
      <c r="G22" s="85"/>
    </row>
  </sheetData>
  <mergeCells count="8">
    <mergeCell ref="A1:G1"/>
    <mergeCell ref="A17:G17"/>
    <mergeCell ref="A18:G18"/>
    <mergeCell ref="A21:G21"/>
    <mergeCell ref="A22:G22"/>
    <mergeCell ref="A20:G20"/>
    <mergeCell ref="A2:G2"/>
    <mergeCell ref="A19:G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7"/>
  <sheetViews>
    <sheetView workbookViewId="0"/>
  </sheetViews>
  <sheetFormatPr defaultRowHeight="14.25"/>
  <cols>
    <col min="1" max="1" width="42" customWidth="1"/>
    <col min="2" max="2" width="8" customWidth="1"/>
    <col min="3" max="6" width="14" customWidth="1"/>
  </cols>
  <sheetData>
    <row r="1" spans="1:6" ht="17.649999999999999">
      <c r="A1" s="84" t="s">
        <v>1271</v>
      </c>
      <c r="B1" s="85"/>
      <c r="C1" s="85"/>
      <c r="D1" s="85"/>
      <c r="E1" s="85"/>
      <c r="F1" s="85"/>
    </row>
    <row r="3" spans="1:6">
      <c r="A3" s="51" t="s">
        <v>1272</v>
      </c>
    </row>
    <row r="4" spans="1:6" ht="24">
      <c r="A4" s="71" t="s">
        <v>1204</v>
      </c>
      <c r="B4" s="71" t="s">
        <v>1273</v>
      </c>
      <c r="C4" s="71" t="s">
        <v>1274</v>
      </c>
      <c r="D4" s="71" t="s">
        <v>1275</v>
      </c>
      <c r="E4" s="71" t="s">
        <v>1276</v>
      </c>
    </row>
    <row r="5" spans="1:6">
      <c r="A5" s="47" t="s">
        <v>1277</v>
      </c>
      <c r="B5" s="50">
        <v>0.26529330730571632</v>
      </c>
      <c r="C5" s="50">
        <v>0.1538001454306463</v>
      </c>
      <c r="D5" s="75">
        <v>0.41909345273636261</v>
      </c>
      <c r="E5" s="53">
        <v>0.57973624360380671</v>
      </c>
    </row>
    <row r="6" spans="1:6">
      <c r="A6" s="47" t="s">
        <v>1278</v>
      </c>
      <c r="B6" s="54">
        <v>9.8158523703115002</v>
      </c>
      <c r="C6" s="54">
        <v>5.6906053809339152</v>
      </c>
      <c r="D6" s="76">
        <v>15.506457751245421</v>
      </c>
      <c r="E6" s="53">
        <v>0.57973624360380716</v>
      </c>
    </row>
    <row r="7" spans="1:6">
      <c r="A7" s="47" t="s">
        <v>1279</v>
      </c>
      <c r="B7" s="54">
        <v>9.0863037340199995</v>
      </c>
      <c r="C7" s="54">
        <v>5.2676595950039999</v>
      </c>
      <c r="D7" s="76">
        <v>14.353963329023999</v>
      </c>
      <c r="E7" s="53">
        <v>0.57973624360380693</v>
      </c>
    </row>
    <row r="10" spans="1:6">
      <c r="A10" s="51" t="s">
        <v>1280</v>
      </c>
    </row>
    <row r="11" spans="1:6" ht="24">
      <c r="A11" s="71" t="s">
        <v>242</v>
      </c>
      <c r="B11" s="71" t="s">
        <v>1235</v>
      </c>
      <c r="C11" s="71" t="s">
        <v>1244</v>
      </c>
      <c r="D11" s="71" t="s">
        <v>1281</v>
      </c>
      <c r="E11" s="71" t="s">
        <v>1282</v>
      </c>
      <c r="F11" s="71" t="s">
        <v>1283</v>
      </c>
    </row>
    <row r="12" spans="1:6">
      <c r="A12" s="47" t="s">
        <v>348</v>
      </c>
      <c r="B12" s="72">
        <v>2.5</v>
      </c>
      <c r="C12" s="55">
        <v>2105992</v>
      </c>
      <c r="D12" s="54">
        <v>13.37557928571429</v>
      </c>
      <c r="E12" s="54">
        <v>20.063368928571428</v>
      </c>
      <c r="F12" s="76">
        <v>33.438948214285709</v>
      </c>
    </row>
    <row r="13" spans="1:6">
      <c r="A13" s="47" t="s">
        <v>481</v>
      </c>
      <c r="B13" s="72">
        <v>2</v>
      </c>
      <c r="C13" s="55">
        <v>2389015</v>
      </c>
      <c r="D13" s="54">
        <v>12.58947677419355</v>
      </c>
      <c r="E13" s="54">
        <v>12.58947677419355</v>
      </c>
      <c r="F13" s="76">
        <v>25.178953548387099</v>
      </c>
    </row>
    <row r="14" spans="1:6">
      <c r="A14" s="47" t="s">
        <v>543</v>
      </c>
      <c r="B14" s="72">
        <v>2</v>
      </c>
      <c r="C14" s="55">
        <v>684000</v>
      </c>
      <c r="D14" s="54">
        <v>11.22025</v>
      </c>
      <c r="E14" s="54">
        <v>11.22025</v>
      </c>
      <c r="F14" s="76">
        <v>22.4405</v>
      </c>
    </row>
    <row r="15" spans="1:6">
      <c r="A15" s="47" t="s">
        <v>635</v>
      </c>
      <c r="B15" s="65">
        <v>1.8</v>
      </c>
      <c r="C15" s="55">
        <v>2197012</v>
      </c>
      <c r="D15" s="54">
        <v>11.54968058823529</v>
      </c>
      <c r="E15" s="54">
        <v>9.239744470588235</v>
      </c>
      <c r="F15" s="76">
        <v>20.789425058823539</v>
      </c>
    </row>
    <row r="16" spans="1:6">
      <c r="A16" s="47" t="s">
        <v>264</v>
      </c>
      <c r="B16" s="65">
        <v>1.8</v>
      </c>
      <c r="C16" s="55">
        <v>3187003</v>
      </c>
      <c r="D16" s="54">
        <v>10.73159684210526</v>
      </c>
      <c r="E16" s="54">
        <v>8.5852774736842097</v>
      </c>
      <c r="F16" s="76">
        <v>19.31687431578947</v>
      </c>
    </row>
    <row r="17" spans="1:6">
      <c r="A17" s="47" t="s">
        <v>405</v>
      </c>
      <c r="B17" s="65">
        <v>1.8</v>
      </c>
      <c r="C17" s="55">
        <v>1846988</v>
      </c>
      <c r="D17" s="54">
        <v>10.35570230769231</v>
      </c>
      <c r="E17" s="54">
        <v>8.2845618461538457</v>
      </c>
      <c r="F17" s="76">
        <v>18.64026415384615</v>
      </c>
    </row>
    <row r="18" spans="1:6">
      <c r="A18" s="47" t="s">
        <v>606</v>
      </c>
      <c r="B18" s="72">
        <v>2</v>
      </c>
      <c r="C18" s="55">
        <v>571004</v>
      </c>
      <c r="D18" s="54">
        <v>9.2813442857142867</v>
      </c>
      <c r="E18" s="54">
        <v>9.2813442857142867</v>
      </c>
      <c r="F18" s="76">
        <v>18.56268857142857</v>
      </c>
    </row>
    <row r="19" spans="1:6">
      <c r="A19" s="47" t="s">
        <v>744</v>
      </c>
      <c r="B19" s="65">
        <v>1.2</v>
      </c>
      <c r="C19" s="55">
        <v>754999</v>
      </c>
      <c r="D19" s="54">
        <v>14.60696571428571</v>
      </c>
      <c r="E19" s="54">
        <v>2.9213931428571418</v>
      </c>
      <c r="F19" s="76">
        <v>17.528358857142859</v>
      </c>
    </row>
    <row r="20" spans="1:6">
      <c r="A20" s="47" t="s">
        <v>960</v>
      </c>
      <c r="B20" s="65">
        <v>1.3</v>
      </c>
      <c r="C20" s="55">
        <v>556002</v>
      </c>
      <c r="D20" s="54">
        <v>13.269679999999999</v>
      </c>
      <c r="E20" s="54">
        <v>3.9809040000000002</v>
      </c>
      <c r="F20" s="76">
        <v>17.250584</v>
      </c>
    </row>
    <row r="21" spans="1:6">
      <c r="A21" s="47" t="s">
        <v>458</v>
      </c>
      <c r="B21" s="65">
        <v>1.5</v>
      </c>
      <c r="C21" s="55">
        <v>1711996</v>
      </c>
      <c r="D21" s="54">
        <v>11.360143636363629</v>
      </c>
      <c r="E21" s="54">
        <v>5.6800718181818173</v>
      </c>
      <c r="F21" s="76">
        <v>17.04021545454545</v>
      </c>
    </row>
    <row r="22" spans="1:6">
      <c r="A22" s="47" t="s">
        <v>703</v>
      </c>
      <c r="B22" s="65">
        <v>1.2</v>
      </c>
      <c r="C22" s="55">
        <v>2355000</v>
      </c>
      <c r="D22" s="54">
        <v>13.189242</v>
      </c>
      <c r="E22" s="54">
        <v>2.6378484000000002</v>
      </c>
      <c r="F22" s="76">
        <v>15.827090399999999</v>
      </c>
    </row>
    <row r="23" spans="1:6">
      <c r="A23" s="47" t="s">
        <v>303</v>
      </c>
      <c r="B23" s="65">
        <v>1.5</v>
      </c>
      <c r="C23" s="55">
        <v>2041006</v>
      </c>
      <c r="D23" s="54">
        <v>10.537431818181821</v>
      </c>
      <c r="E23" s="54">
        <v>5.2687159090909077</v>
      </c>
      <c r="F23" s="76">
        <v>15.80614772727273</v>
      </c>
    </row>
    <row r="24" spans="1:6">
      <c r="A24" s="47" t="s">
        <v>568</v>
      </c>
      <c r="B24" s="65">
        <v>1.5</v>
      </c>
      <c r="C24" s="55">
        <v>930995</v>
      </c>
      <c r="D24" s="54">
        <v>9.4167276923076919</v>
      </c>
      <c r="E24" s="54">
        <v>4.708363846153846</v>
      </c>
      <c r="F24" s="76">
        <v>14.12509153846154</v>
      </c>
    </row>
    <row r="25" spans="1:6">
      <c r="A25" s="47" t="s">
        <v>930</v>
      </c>
      <c r="B25" s="65">
        <v>1.3</v>
      </c>
      <c r="C25" s="55">
        <v>1647000</v>
      </c>
      <c r="D25" s="54">
        <v>10.578892</v>
      </c>
      <c r="E25" s="54">
        <v>3.1736675999999999</v>
      </c>
      <c r="F25" s="76">
        <v>13.7525596</v>
      </c>
    </row>
    <row r="26" spans="1:6">
      <c r="A26" s="47" t="s">
        <v>595</v>
      </c>
      <c r="B26" s="65">
        <v>1.3</v>
      </c>
      <c r="C26" s="55">
        <v>438000</v>
      </c>
      <c r="D26" s="54">
        <v>9.134856000000001</v>
      </c>
      <c r="E26" s="54">
        <v>2.7404568</v>
      </c>
      <c r="F26" s="76">
        <v>11.8753128</v>
      </c>
    </row>
    <row r="27" spans="1:6">
      <c r="A27" s="47" t="s">
        <v>925</v>
      </c>
      <c r="B27" s="65">
        <v>1.2</v>
      </c>
      <c r="C27" s="55">
        <v>108000</v>
      </c>
      <c r="D27" s="54">
        <v>8.4559800000000003</v>
      </c>
      <c r="E27" s="54">
        <v>1.6911959999999999</v>
      </c>
      <c r="F27" s="76">
        <v>10.147176</v>
      </c>
    </row>
    <row r="28" spans="1:6">
      <c r="A28" s="47" t="s">
        <v>902</v>
      </c>
      <c r="B28" s="65">
        <v>1.2</v>
      </c>
      <c r="C28" s="55">
        <v>764005</v>
      </c>
      <c r="D28" s="54">
        <v>8.0616272727272715</v>
      </c>
      <c r="E28" s="54">
        <v>1.612325454545454</v>
      </c>
      <c r="F28" s="76">
        <v>9.6739527272727255</v>
      </c>
    </row>
    <row r="29" spans="1:6">
      <c r="A29" s="47" t="s">
        <v>770</v>
      </c>
      <c r="B29" s="65">
        <v>1.1000000000000001</v>
      </c>
      <c r="C29" s="55">
        <v>1284000</v>
      </c>
      <c r="D29" s="54">
        <v>7.4787359999999996</v>
      </c>
      <c r="E29" s="54">
        <v>0.74787360000000058</v>
      </c>
      <c r="F29" s="76">
        <v>8.2266096000000015</v>
      </c>
    </row>
    <row r="30" spans="1:6">
      <c r="A30" s="47" t="s">
        <v>871</v>
      </c>
      <c r="B30" s="65">
        <v>1.1000000000000001</v>
      </c>
      <c r="C30" s="55">
        <v>1879005</v>
      </c>
      <c r="D30" s="54">
        <v>7.0948240000000009</v>
      </c>
      <c r="E30" s="54">
        <v>0.70948240000000062</v>
      </c>
      <c r="F30" s="76">
        <v>7.8043063999999989</v>
      </c>
    </row>
    <row r="31" spans="1:6">
      <c r="A31" s="47" t="s">
        <v>836</v>
      </c>
      <c r="B31" s="65">
        <v>1.1000000000000001</v>
      </c>
      <c r="C31" s="55">
        <v>714000</v>
      </c>
      <c r="D31" s="54">
        <v>6.1589329411764711</v>
      </c>
      <c r="E31" s="54">
        <v>0.61589329411764759</v>
      </c>
      <c r="F31" s="76">
        <v>6.7748262352941184</v>
      </c>
    </row>
    <row r="32" spans="1:6">
      <c r="A32" s="47" t="s">
        <v>759</v>
      </c>
      <c r="B32" s="65">
        <v>1.1000000000000001</v>
      </c>
      <c r="C32" s="55">
        <v>212000</v>
      </c>
      <c r="D32" s="54">
        <v>5.5819679999999998</v>
      </c>
      <c r="E32" s="54">
        <v>0.55819680000000038</v>
      </c>
      <c r="F32" s="76">
        <v>6.1401648000000018</v>
      </c>
    </row>
    <row r="33" spans="1:6">
      <c r="A33" s="47" t="s">
        <v>811</v>
      </c>
      <c r="B33" s="65">
        <v>1.1000000000000001</v>
      </c>
      <c r="C33" s="55">
        <v>831000</v>
      </c>
      <c r="D33" s="54">
        <v>5.42753</v>
      </c>
      <c r="E33" s="54">
        <v>0.54275300000000037</v>
      </c>
      <c r="F33" s="76">
        <v>5.970283000000002</v>
      </c>
    </row>
    <row r="34" spans="1:6">
      <c r="A34" s="47" t="s">
        <v>973</v>
      </c>
      <c r="B34" s="65">
        <v>1</v>
      </c>
      <c r="C34" s="55">
        <v>1048008</v>
      </c>
      <c r="D34" s="54">
        <v>5.7884792307692301</v>
      </c>
      <c r="E34" s="54">
        <v>0</v>
      </c>
      <c r="F34" s="76">
        <v>5.7884792307692301</v>
      </c>
    </row>
    <row r="35" spans="1:6">
      <c r="A35" s="47" t="s">
        <v>1060</v>
      </c>
      <c r="B35" s="65">
        <v>1</v>
      </c>
      <c r="C35" s="55">
        <v>2367000</v>
      </c>
      <c r="D35" s="54">
        <v>5.3628096000000021</v>
      </c>
      <c r="E35" s="54">
        <v>0</v>
      </c>
      <c r="F35" s="76">
        <v>5.3628096000000021</v>
      </c>
    </row>
    <row r="36" spans="1:6">
      <c r="A36" s="47" t="s">
        <v>1026</v>
      </c>
      <c r="B36" s="65">
        <v>1</v>
      </c>
      <c r="C36" s="55">
        <v>1149000</v>
      </c>
      <c r="D36" s="54">
        <v>4.25352</v>
      </c>
      <c r="E36" s="54">
        <v>0</v>
      </c>
      <c r="F36" s="76">
        <v>4.25352</v>
      </c>
    </row>
    <row r="37" spans="1:6">
      <c r="A37" s="47" t="s">
        <v>1043</v>
      </c>
      <c r="B37" s="65">
        <v>1</v>
      </c>
      <c r="C37" s="55">
        <v>478000</v>
      </c>
      <c r="D37" s="54">
        <v>3.9993300000000001</v>
      </c>
      <c r="E37" s="54">
        <v>0</v>
      </c>
      <c r="F37" s="76">
        <v>3.9993300000000001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2026-02-15T15:46:32Z</dcterms:created>
  <dcterms:modified xsi:type="dcterms:W3CDTF">2026-06-17T04:29:09Z</dcterms:modified>
  <cp:category/>
  <cp:contentStatus/>
</cp:coreProperties>
</file>